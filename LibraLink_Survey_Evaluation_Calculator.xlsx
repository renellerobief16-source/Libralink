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57DE2B08-91B4-4AFA-8362-1F07983F8F6E}" xr6:coauthVersionLast="47" xr6:coauthVersionMax="47" xr10:uidLastSave="{00000000-0000-0000-0000-000000000000}"/>
  <bookViews>
    <workbookView xWindow="5760" yWindow="4068" windowWidth="17280" windowHeight="9960" activeTab="1" xr2:uid="{00000000-000D-0000-FFFF-FFFF00000000}"/>
  </bookViews>
  <sheets>
    <sheet name="Summary &amp; Tables" sheetId="1" r:id="rId1"/>
    <sheet name="Raw Data &amp; 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70" i="2" l="1"/>
  <c r="U71" i="2" s="1"/>
  <c r="T70" i="2"/>
  <c r="T71" i="2" s="1"/>
  <c r="S70" i="2"/>
  <c r="S71" i="2" s="1"/>
  <c r="R70" i="2"/>
  <c r="R71" i="2" s="1"/>
  <c r="Q70" i="2"/>
  <c r="Q71" i="2" s="1"/>
  <c r="P70" i="2"/>
  <c r="P71" i="2" s="1"/>
  <c r="O70" i="2"/>
  <c r="O71" i="2" s="1"/>
  <c r="N70" i="2"/>
  <c r="N71" i="2" s="1"/>
  <c r="M70" i="2"/>
  <c r="M71" i="2" s="1"/>
  <c r="L70" i="2"/>
  <c r="L71" i="2" s="1"/>
  <c r="K70" i="2"/>
  <c r="D23" i="1" s="1"/>
  <c r="J70" i="2"/>
  <c r="J71" i="2" s="1"/>
  <c r="I70" i="2"/>
  <c r="I71" i="2" s="1"/>
  <c r="H70" i="2"/>
  <c r="H71" i="2" s="1"/>
  <c r="G70" i="2"/>
  <c r="G71" i="2" s="1"/>
  <c r="F70" i="2"/>
  <c r="F71" i="2" s="1"/>
  <c r="E70" i="2"/>
  <c r="E71" i="2" s="1"/>
  <c r="D70" i="2"/>
  <c r="D71" i="2" s="1"/>
  <c r="D26" i="1"/>
  <c r="F26" i="1" s="1"/>
  <c r="D25" i="1"/>
  <c r="F25" i="1" s="1"/>
  <c r="D22" i="1" l="1"/>
  <c r="F22" i="1" s="1"/>
  <c r="F23" i="1"/>
  <c r="E23" i="1"/>
  <c r="D24" i="1"/>
  <c r="K71" i="2"/>
  <c r="E26" i="1"/>
  <c r="E25" i="1"/>
  <c r="E22" i="1" l="1"/>
  <c r="F24" i="1"/>
  <c r="E24" i="1"/>
  <c r="D27" i="1"/>
  <c r="F27" i="1" l="1"/>
  <c r="E27" i="1"/>
</calcChain>
</file>

<file path=xl/sharedStrings.xml><?xml version="1.0" encoding="utf-8"?>
<sst xmlns="http://schemas.openxmlformats.org/spreadsheetml/2006/main" count="287" uniqueCount="154">
  <si>
    <t>LIBRALINK: SYSTEM EVALUATION SUMMARY (ISO/IEC 25010)</t>
  </si>
  <si>
    <t>Descriptive Statistical Results (Weighted Mean &amp; Acceptability Levels)</t>
  </si>
  <si>
    <t>Table 1: Four-Point Likert Scale and Interpretation Criteria</t>
  </si>
  <si>
    <t/>
  </si>
  <si>
    <t>Scale Weight</t>
  </si>
  <si>
    <t>Score Interval</t>
  </si>
  <si>
    <t>Qualitative Interpretation</t>
  </si>
  <si>
    <t>System Acceptability Level</t>
  </si>
  <si>
    <t>3.26 - 4.00</t>
  </si>
  <si>
    <t>Strongly Agree</t>
  </si>
  <si>
    <t>Highly Acceptable</t>
  </si>
  <si>
    <t>2.51 - 3.25</t>
  </si>
  <si>
    <t>Agree</t>
  </si>
  <si>
    <t>Acceptable</t>
  </si>
  <si>
    <t>1.76 - 2.50</t>
  </si>
  <si>
    <t>Disagree</t>
  </si>
  <si>
    <t>Moderately Acceptable</t>
  </si>
  <si>
    <t>1.00 - 1.75</t>
  </si>
  <si>
    <t>Strongly Disagree</t>
  </si>
  <si>
    <t>Not Acceptable</t>
  </si>
  <si>
    <t>Table 2: Demographic Distribution of Respondents (N = 64)</t>
  </si>
  <si>
    <t>Respondent Category / Level</t>
  </si>
  <si>
    <t>Guagua National College</t>
  </si>
  <si>
    <t>Santa Rita College</t>
  </si>
  <si>
    <t>Total (f)</t>
  </si>
  <si>
    <t>Percentage (%)</t>
  </si>
  <si>
    <t>College Students</t>
  </si>
  <si>
    <t>=C14+D14</t>
  </si>
  <si>
    <t>=(E14/$E$18)*100</t>
  </si>
  <si>
    <t>Senior High School Students</t>
  </si>
  <si>
    <t>=C15+D15</t>
  </si>
  <si>
    <t>=(E15/$E$18)*100</t>
  </si>
  <si>
    <t>Junior High School Students</t>
  </si>
  <si>
    <t>=C16+D16</t>
  </si>
  <si>
    <t>=(E16/$E$18)*100</t>
  </si>
  <si>
    <t>Librarians / Library Staff</t>
  </si>
  <si>
    <t>=C17+D17</t>
  </si>
  <si>
    <t>=(E17/$E$18)*100</t>
  </si>
  <si>
    <t>TOTAL</t>
  </si>
  <si>
    <t>=SUM(C14:C17)</t>
  </si>
  <si>
    <t>=SUM(D14:D17)</t>
  </si>
  <si>
    <t>=SUM(E14:E17)</t>
  </si>
  <si>
    <t>=SUM(F14:F17)</t>
  </si>
  <si>
    <t>Table 3: Summary of ISO/IEC 25010 Quality Evaluation (Weighted Means)</t>
  </si>
  <si>
    <t>Evaluation Criterion</t>
  </si>
  <si>
    <t>Questions Count</t>
  </si>
  <si>
    <t>Overall Weighted Mean</t>
  </si>
  <si>
    <t>Verbal Interpretation</t>
  </si>
  <si>
    <t>System Acceptability</t>
  </si>
  <si>
    <t>1. Functional Suitability</t>
  </si>
  <si>
    <t>5 Items (Q1 - Q5)</t>
  </si>
  <si>
    <t>2. Usability</t>
  </si>
  <si>
    <t>4 Items (Q6 - Q9)</t>
  </si>
  <si>
    <t>3. Reliability</t>
  </si>
  <si>
    <t>3 Items (Q10 - Q12)</t>
  </si>
  <si>
    <t>4. Performance Efficiency</t>
  </si>
  <si>
    <t>3 Items (Q13 - Q15)</t>
  </si>
  <si>
    <t>5. User Satisfaction &amp; SDG 4</t>
  </si>
  <si>
    <t>3 Items (Q16 - Q18)</t>
  </si>
  <si>
    <t>OVERALL GRAND MEAN</t>
  </si>
  <si>
    <t>18 Items Total</t>
  </si>
  <si>
    <t>Resp ID</t>
  </si>
  <si>
    <t>School</t>
  </si>
  <si>
    <t>Academic Level</t>
  </si>
  <si>
    <t>Q1 (Search books easily)</t>
  </si>
  <si>
    <t>Q2 (Real-time availability check)</t>
  </si>
  <si>
    <t>Q3 (Partner school suggestions)</t>
  </si>
  <si>
    <t>Q4 (Inter-library borrow request)</t>
  </si>
  <si>
    <t>Q5 (Access Token generation &amp; approval)</t>
  </si>
  <si>
    <t>Q6 (Intuitive clean UI navigation)</t>
  </si>
  <si>
    <t>Q7 (Clear text and readable labels)</t>
  </si>
  <si>
    <t>Q8 (Mobile &amp; desktop responsiveness)</t>
  </si>
  <si>
    <t>Q9 (Easy learning curve)</t>
  </si>
  <si>
    <t>Q10 (Accurate transaction states)</t>
  </si>
  <si>
    <t>Q11 (Error prevention &amp; validation)</t>
  </si>
  <si>
    <t>Q12 (Consistent data retrieval)</t>
  </si>
  <si>
    <t>Q13 (Fast response and loading speed)</t>
  </si>
  <si>
    <t>Q14 (Minimal steps to borrow)</t>
  </si>
  <si>
    <t>Q15 (Optimal database query time)</t>
  </si>
  <si>
    <t>Q16 (Overall user satisfaction)</t>
  </si>
  <si>
    <t>Q17 (Solves book resource scarcity)</t>
  </si>
  <si>
    <t>Q18 (Supports SDG 4 Quality Education)</t>
  </si>
  <si>
    <t>RESP-001</t>
  </si>
  <si>
    <t>Guagua National College (GNC)</t>
  </si>
  <si>
    <t>College</t>
  </si>
  <si>
    <t>RESP-002</t>
  </si>
  <si>
    <t>RESP-003</t>
  </si>
  <si>
    <t>RESP-004</t>
  </si>
  <si>
    <t>RESP-005</t>
  </si>
  <si>
    <t>RESP-006</t>
  </si>
  <si>
    <t>RESP-007</t>
  </si>
  <si>
    <t>RESP-008</t>
  </si>
  <si>
    <t>RESP-009</t>
  </si>
  <si>
    <t>RESP-010</t>
  </si>
  <si>
    <t>RESP-011</t>
  </si>
  <si>
    <t>Senior High School</t>
  </si>
  <si>
    <t>RESP-012</t>
  </si>
  <si>
    <t>RESP-013</t>
  </si>
  <si>
    <t>RESP-014</t>
  </si>
  <si>
    <t>RESP-015</t>
  </si>
  <si>
    <t>RESP-016</t>
  </si>
  <si>
    <t>RESP-017</t>
  </si>
  <si>
    <t>RESP-018</t>
  </si>
  <si>
    <t>RESP-019</t>
  </si>
  <si>
    <t>RESP-020</t>
  </si>
  <si>
    <t>RESP-021</t>
  </si>
  <si>
    <t>Junior High School</t>
  </si>
  <si>
    <t>RESP-022</t>
  </si>
  <si>
    <t>RESP-023</t>
  </si>
  <si>
    <t>RESP-024</t>
  </si>
  <si>
    <t>RESP-025</t>
  </si>
  <si>
    <t>RESP-026</t>
  </si>
  <si>
    <t>RESP-027</t>
  </si>
  <si>
    <t>RESP-028</t>
  </si>
  <si>
    <t>RESP-029</t>
  </si>
  <si>
    <t>RESP-030</t>
  </si>
  <si>
    <t>RESP-031</t>
  </si>
  <si>
    <t>Librarian / Staff</t>
  </si>
  <si>
    <t>RESP-032</t>
  </si>
  <si>
    <t>RESP-033</t>
  </si>
  <si>
    <t>Santa Rita College (SRC)</t>
  </si>
  <si>
    <t>RESP-034</t>
  </si>
  <si>
    <t>RESP-035</t>
  </si>
  <si>
    <t>RESP-036</t>
  </si>
  <si>
    <t>RESP-037</t>
  </si>
  <si>
    <t>RESP-038</t>
  </si>
  <si>
    <t>RESP-039</t>
  </si>
  <si>
    <t>RESP-040</t>
  </si>
  <si>
    <t>RESP-041</t>
  </si>
  <si>
    <t>RESP-042</t>
  </si>
  <si>
    <t>RESP-043</t>
  </si>
  <si>
    <t>RESP-044</t>
  </si>
  <si>
    <t>RESP-045</t>
  </si>
  <si>
    <t>RESP-046</t>
  </si>
  <si>
    <t>RESP-047</t>
  </si>
  <si>
    <t>RESP-048</t>
  </si>
  <si>
    <t>RESP-049</t>
  </si>
  <si>
    <t>RESP-050</t>
  </si>
  <si>
    <t>RESP-051</t>
  </si>
  <si>
    <t>RESP-052</t>
  </si>
  <si>
    <t>RESP-053</t>
  </si>
  <si>
    <t>RESP-054</t>
  </si>
  <si>
    <t>RESP-055</t>
  </si>
  <si>
    <t>RESP-056</t>
  </si>
  <si>
    <t>RESP-057</t>
  </si>
  <si>
    <t>RESP-058</t>
  </si>
  <si>
    <t>RESP-059</t>
  </si>
  <si>
    <t>RESP-060</t>
  </si>
  <si>
    <t>RESP-061</t>
  </si>
  <si>
    <t>RESP-062</t>
  </si>
  <si>
    <t>RESP-063</t>
  </si>
  <si>
    <t>RESP-064</t>
  </si>
  <si>
    <t>WEIGHTED MEAN</t>
  </si>
  <si>
    <t>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</si>
</sst>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%&quot;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name val="Calibri"/>
    </font>
    <font>
      <b/>
      <sz val="12"/>
      <color rgb="FF1B365D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0F172A"/>
      <name val="Calibri"/>
    </font>
    <font>
      <b/>
      <sz val="11"/>
      <color rgb="FF1B365D"/>
      <name val="Calibri"/>
    </font>
    <font>
      <b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1E293B"/>
      </patternFill>
    </fill>
    <fill>
      <patternFill patternType="solid">
        <fgColor rgb="FFCBD5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5" fillId="4" borderId="0" xfId="0" applyFont="1" applyFill="1"/>
    <xf numFmtId="0" fontId="5" fillId="4" borderId="0" xfId="0" applyFont="1" applyFill="1" applyAlignment="1">
      <alignment horizontal="center"/>
    </xf>
    <xf numFmtId="164" fontId="5" fillId="4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2" fontId="0" fillId="0" borderId="0" xfId="0" applyNumberFormat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2" fontId="6" fillId="6" borderId="0" xfId="0" applyNumberFormat="1" applyFont="1" applyFill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2" fontId="7" fillId="4" borderId="0" xfId="0" applyNumberFormat="1" applyFont="1" applyFill="1" applyAlignment="1">
      <alignment horizontal="center"/>
    </xf>
    <xf numFmtId="0" fontId="8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07C41"/>
  </sheetPr>
  <dimension ref="A2:G27"/>
  <sheetViews>
    <sheetView topLeftCell="A18" zoomScale="116" workbookViewId="0">
      <selection activeCell="C31" sqref="C31"/>
    </sheetView>
  </sheetViews>
  <sheetFormatPr defaultRowHeight="14.4" x14ac:dyDescent="0.3"/>
  <cols>
    <col min="1" max="1" width="8" customWidth="1"/>
    <col min="2" max="2" width="42" customWidth="1"/>
    <col min="3" max="4" width="14" customWidth="1"/>
    <col min="5" max="5" width="16" customWidth="1"/>
    <col min="6" max="7" width="22" customWidth="1"/>
  </cols>
  <sheetData>
    <row r="2" spans="1:7" ht="34.950000000000003" customHeight="1" x14ac:dyDescent="0.3">
      <c r="B2" s="17" t="s">
        <v>0</v>
      </c>
      <c r="C2" s="17"/>
      <c r="D2" s="17"/>
      <c r="E2" s="17"/>
      <c r="F2" s="17"/>
      <c r="G2" s="17"/>
    </row>
    <row r="3" spans="1:7" x14ac:dyDescent="0.3">
      <c r="B3" s="18" t="s">
        <v>1</v>
      </c>
      <c r="C3" s="18"/>
      <c r="D3" s="18"/>
      <c r="E3" s="18"/>
      <c r="F3" s="18"/>
      <c r="G3" s="18"/>
    </row>
    <row r="5" spans="1:7" ht="15.6" x14ac:dyDescent="0.3">
      <c r="B5" s="19" t="s">
        <v>2</v>
      </c>
      <c r="C5" s="19"/>
      <c r="D5" s="19"/>
      <c r="E5" s="19"/>
      <c r="F5" s="19"/>
    </row>
    <row r="6" spans="1:7" x14ac:dyDescent="0.3">
      <c r="A6" t="s">
        <v>3</v>
      </c>
      <c r="B6" s="1" t="s">
        <v>4</v>
      </c>
      <c r="C6" s="1" t="s">
        <v>5</v>
      </c>
      <c r="D6" s="1" t="s">
        <v>6</v>
      </c>
      <c r="E6" s="1" t="s">
        <v>7</v>
      </c>
    </row>
    <row r="7" spans="1:7" x14ac:dyDescent="0.3">
      <c r="A7" t="s">
        <v>3</v>
      </c>
      <c r="B7" s="2">
        <v>4</v>
      </c>
      <c r="C7" s="2" t="s">
        <v>8</v>
      </c>
      <c r="D7" s="2" t="s">
        <v>9</v>
      </c>
      <c r="E7" s="2" t="s">
        <v>10</v>
      </c>
    </row>
    <row r="8" spans="1:7" x14ac:dyDescent="0.3">
      <c r="A8" t="s">
        <v>3</v>
      </c>
      <c r="B8" s="2">
        <v>3</v>
      </c>
      <c r="C8" s="2" t="s">
        <v>11</v>
      </c>
      <c r="D8" s="2" t="s">
        <v>12</v>
      </c>
      <c r="E8" s="2" t="s">
        <v>13</v>
      </c>
    </row>
    <row r="9" spans="1:7" x14ac:dyDescent="0.3">
      <c r="A9" t="s">
        <v>3</v>
      </c>
      <c r="B9" s="2">
        <v>2</v>
      </c>
      <c r="C9" s="2" t="s">
        <v>14</v>
      </c>
      <c r="D9" s="2" t="s">
        <v>15</v>
      </c>
      <c r="E9" s="2" t="s">
        <v>16</v>
      </c>
    </row>
    <row r="10" spans="1:7" x14ac:dyDescent="0.3">
      <c r="A10" t="s">
        <v>3</v>
      </c>
      <c r="B10" s="2">
        <v>1</v>
      </c>
      <c r="C10" s="2" t="s">
        <v>17</v>
      </c>
      <c r="D10" s="2" t="s">
        <v>18</v>
      </c>
      <c r="E10" s="2" t="s">
        <v>19</v>
      </c>
    </row>
    <row r="12" spans="1:7" ht="15.6" x14ac:dyDescent="0.3">
      <c r="B12" s="19" t="s">
        <v>20</v>
      </c>
      <c r="C12" s="19"/>
      <c r="D12" s="19"/>
      <c r="E12" s="19"/>
    </row>
    <row r="13" spans="1:7" x14ac:dyDescent="0.3">
      <c r="A13" t="s">
        <v>3</v>
      </c>
      <c r="B13" s="1" t="s">
        <v>21</v>
      </c>
      <c r="C13" s="1" t="s">
        <v>22</v>
      </c>
      <c r="D13" s="1" t="s">
        <v>23</v>
      </c>
      <c r="E13" s="1" t="s">
        <v>24</v>
      </c>
      <c r="F13" s="1" t="s">
        <v>25</v>
      </c>
    </row>
    <row r="14" spans="1:7" x14ac:dyDescent="0.3">
      <c r="A14" t="s">
        <v>3</v>
      </c>
      <c r="B14" t="s">
        <v>26</v>
      </c>
      <c r="C14" s="2">
        <v>10</v>
      </c>
      <c r="D14" s="2">
        <v>10</v>
      </c>
      <c r="E14" s="2" t="s">
        <v>27</v>
      </c>
      <c r="F14" s="3" t="s">
        <v>28</v>
      </c>
    </row>
    <row r="15" spans="1:7" x14ac:dyDescent="0.3">
      <c r="A15" t="s">
        <v>3</v>
      </c>
      <c r="B15" t="s">
        <v>29</v>
      </c>
      <c r="C15" s="2">
        <v>10</v>
      </c>
      <c r="D15" s="2">
        <v>10</v>
      </c>
      <c r="E15" s="2" t="s">
        <v>30</v>
      </c>
      <c r="F15" s="3" t="s">
        <v>31</v>
      </c>
    </row>
    <row r="16" spans="1:7" x14ac:dyDescent="0.3">
      <c r="A16" t="s">
        <v>3</v>
      </c>
      <c r="B16" t="s">
        <v>32</v>
      </c>
      <c r="C16" s="2">
        <v>10</v>
      </c>
      <c r="D16" s="2">
        <v>10</v>
      </c>
      <c r="E16" s="2" t="s">
        <v>33</v>
      </c>
      <c r="F16" s="3" t="s">
        <v>34</v>
      </c>
    </row>
    <row r="17" spans="1:7" x14ac:dyDescent="0.3">
      <c r="A17" t="s">
        <v>3</v>
      </c>
      <c r="B17" t="s">
        <v>35</v>
      </c>
      <c r="C17" s="2">
        <v>2</v>
      </c>
      <c r="D17" s="2">
        <v>2</v>
      </c>
      <c r="E17" s="2" t="s">
        <v>36</v>
      </c>
      <c r="F17" s="3" t="s">
        <v>37</v>
      </c>
    </row>
    <row r="18" spans="1:7" x14ac:dyDescent="0.3">
      <c r="A18" t="s">
        <v>3</v>
      </c>
      <c r="B18" s="4" t="s">
        <v>38</v>
      </c>
      <c r="C18" s="5" t="s">
        <v>39</v>
      </c>
      <c r="D18" s="5" t="s">
        <v>40</v>
      </c>
      <c r="E18" s="5" t="s">
        <v>41</v>
      </c>
      <c r="F18" s="6" t="s">
        <v>42</v>
      </c>
    </row>
    <row r="20" spans="1:7" ht="15.6" x14ac:dyDescent="0.3">
      <c r="B20" s="19" t="s">
        <v>43</v>
      </c>
      <c r="C20" s="19"/>
      <c r="D20" s="19"/>
      <c r="E20" s="19"/>
      <c r="F20" s="19"/>
      <c r="G20" s="19"/>
    </row>
    <row r="21" spans="1:7" x14ac:dyDescent="0.3">
      <c r="A21" t="s">
        <v>3</v>
      </c>
      <c r="B21" s="7" t="s">
        <v>44</v>
      </c>
      <c r="C21" s="7" t="s">
        <v>45</v>
      </c>
      <c r="D21" s="7" t="s">
        <v>46</v>
      </c>
      <c r="E21" s="7" t="s">
        <v>47</v>
      </c>
      <c r="F21" s="7" t="s">
        <v>48</v>
      </c>
    </row>
    <row r="22" spans="1:7" x14ac:dyDescent="0.3">
      <c r="B22" t="s">
        <v>49</v>
      </c>
      <c r="C22" s="2" t="s">
        <v>50</v>
      </c>
      <c r="D22" s="8">
        <f>AVERAGE('Raw Data &amp; Calculations'!D70:H70)</f>
        <v>3.6531250000000002</v>
      </c>
      <c r="E22" s="2" t="str">
        <f t="shared" ref="E22:E27" si="0">IF(D22&gt;=3.26, "Strongly Agree", IF(D22&gt;=2.51, "Agree", IF(D22&gt;=1.76, "Disagree", "Strongly Disagree")))</f>
        <v>Strongly Agree</v>
      </c>
      <c r="F22" s="2" t="str">
        <f t="shared" ref="F22:F27" si="1">IF(D22&gt;=3.26, "Highly Acceptable", IF(D22&gt;=2.51, "Acceptable", IF(D22&gt;=1.76, "Moderately Acceptable", "Not Acceptable")))</f>
        <v>Highly Acceptable</v>
      </c>
    </row>
    <row r="23" spans="1:7" x14ac:dyDescent="0.3">
      <c r="B23" t="s">
        <v>51</v>
      </c>
      <c r="C23" s="2" t="s">
        <v>52</v>
      </c>
      <c r="D23" s="8">
        <f>AVERAGE('Raw Data &amp; Calculations'!I70:L70)</f>
        <v>3.6484375</v>
      </c>
      <c r="E23" s="2" t="str">
        <f t="shared" si="0"/>
        <v>Strongly Agree</v>
      </c>
      <c r="F23" s="2" t="str">
        <f t="shared" si="1"/>
        <v>Highly Acceptable</v>
      </c>
    </row>
    <row r="24" spans="1:7" x14ac:dyDescent="0.3">
      <c r="B24" t="s">
        <v>53</v>
      </c>
      <c r="C24" s="2" t="s">
        <v>54</v>
      </c>
      <c r="D24" s="8">
        <f>AVERAGE('Raw Data &amp; Calculations'!M70:O70)</f>
        <v>3.640625</v>
      </c>
      <c r="E24" s="2" t="str">
        <f t="shared" si="0"/>
        <v>Strongly Agree</v>
      </c>
      <c r="F24" s="2" t="str">
        <f t="shared" si="1"/>
        <v>Highly Acceptable</v>
      </c>
    </row>
    <row r="25" spans="1:7" x14ac:dyDescent="0.3">
      <c r="B25" t="s">
        <v>55</v>
      </c>
      <c r="C25" s="2" t="s">
        <v>56</v>
      </c>
      <c r="D25" s="8">
        <f>AVERAGE('Raw Data &amp; Calculations'!P70:R70)</f>
        <v>3.6666666666666665</v>
      </c>
      <c r="E25" s="2" t="str">
        <f t="shared" si="0"/>
        <v>Strongly Agree</v>
      </c>
      <c r="F25" s="2" t="str">
        <f t="shared" si="1"/>
        <v>Highly Acceptable</v>
      </c>
    </row>
    <row r="26" spans="1:7" x14ac:dyDescent="0.3">
      <c r="B26" t="s">
        <v>57</v>
      </c>
      <c r="C26" s="2" t="s">
        <v>58</v>
      </c>
      <c r="D26" s="8">
        <f>AVERAGE('Raw Data &amp; Calculations'!S70:U70)</f>
        <v>3.640625</v>
      </c>
      <c r="E26" s="2" t="str">
        <f t="shared" si="0"/>
        <v>Strongly Agree</v>
      </c>
      <c r="F26" s="2" t="str">
        <f t="shared" si="1"/>
        <v>Highly Acceptable</v>
      </c>
    </row>
    <row r="27" spans="1:7" x14ac:dyDescent="0.3">
      <c r="B27" s="9" t="s">
        <v>59</v>
      </c>
      <c r="C27" s="10" t="s">
        <v>60</v>
      </c>
      <c r="D27" s="11">
        <f>AVERAGE(D22:D26)</f>
        <v>3.6498958333333333</v>
      </c>
      <c r="E27" s="10" t="str">
        <f t="shared" si="0"/>
        <v>Strongly Agree</v>
      </c>
      <c r="F27" s="10" t="str">
        <f t="shared" si="1"/>
        <v>Highly Acceptable</v>
      </c>
    </row>
  </sheetData>
  <mergeCells count="5">
    <mergeCell ref="B2:G2"/>
    <mergeCell ref="B3:G3"/>
    <mergeCell ref="B5:F5"/>
    <mergeCell ref="B12:E12"/>
    <mergeCell ref="B20:G2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</sheetPr>
  <dimension ref="A3:U71"/>
  <sheetViews>
    <sheetView tabSelected="1" topLeftCell="A44" zoomScale="92" workbookViewId="0">
      <selection activeCell="C35" sqref="C35"/>
    </sheetView>
  </sheetViews>
  <sheetFormatPr defaultRowHeight="14.4" x14ac:dyDescent="0.3"/>
  <cols>
    <col min="1" max="3" width="18" customWidth="1"/>
    <col min="4" max="21" width="12" customWidth="1"/>
  </cols>
  <sheetData>
    <row r="3" spans="1:21" s="12" customFormat="1" ht="40.049999999999997" customHeight="1" x14ac:dyDescent="0.3">
      <c r="A3" s="13" t="s">
        <v>61</v>
      </c>
      <c r="B3" s="13" t="s">
        <v>62</v>
      </c>
      <c r="C3" s="13" t="s">
        <v>63</v>
      </c>
      <c r="D3" s="13" t="s">
        <v>64</v>
      </c>
      <c r="E3" s="13" t="s">
        <v>65</v>
      </c>
      <c r="F3" s="13" t="s">
        <v>66</v>
      </c>
      <c r="G3" s="13" t="s">
        <v>67</v>
      </c>
      <c r="H3" s="13" t="s">
        <v>68</v>
      </c>
      <c r="I3" s="13" t="s">
        <v>69</v>
      </c>
      <c r="J3" s="13" t="s">
        <v>70</v>
      </c>
      <c r="K3" s="13" t="s">
        <v>71</v>
      </c>
      <c r="L3" s="13" t="s">
        <v>72</v>
      </c>
      <c r="M3" s="13" t="s">
        <v>73</v>
      </c>
      <c r="N3" s="13" t="s">
        <v>74</v>
      </c>
      <c r="O3" s="13" t="s">
        <v>75</v>
      </c>
      <c r="P3" s="13" t="s">
        <v>76</v>
      </c>
      <c r="Q3" s="13" t="s">
        <v>77</v>
      </c>
      <c r="R3" s="13" t="s">
        <v>78</v>
      </c>
      <c r="S3" s="13" t="s">
        <v>79</v>
      </c>
      <c r="T3" s="13" t="s">
        <v>80</v>
      </c>
      <c r="U3" s="13" t="s">
        <v>81</v>
      </c>
    </row>
    <row r="4" spans="1:21" x14ac:dyDescent="0.3">
      <c r="A4" s="2" t="s">
        <v>82</v>
      </c>
      <c r="B4" s="14" t="s">
        <v>83</v>
      </c>
      <c r="C4" s="2" t="s">
        <v>84</v>
      </c>
      <c r="D4" s="2">
        <v>4</v>
      </c>
      <c r="E4" s="2">
        <v>4</v>
      </c>
      <c r="F4" s="2">
        <v>4</v>
      </c>
      <c r="G4" s="2">
        <v>4</v>
      </c>
      <c r="H4" s="2">
        <v>4</v>
      </c>
      <c r="I4" s="2">
        <v>4</v>
      </c>
      <c r="J4" s="2">
        <v>3</v>
      </c>
      <c r="K4" s="2">
        <v>3</v>
      </c>
      <c r="L4" s="2">
        <v>4</v>
      </c>
      <c r="M4" s="2">
        <v>4</v>
      </c>
      <c r="N4" s="2">
        <v>4</v>
      </c>
      <c r="O4" s="2">
        <v>4</v>
      </c>
      <c r="P4" s="2">
        <v>4</v>
      </c>
      <c r="Q4" s="2">
        <v>4</v>
      </c>
      <c r="R4" s="2">
        <v>3</v>
      </c>
      <c r="S4" s="2">
        <v>2</v>
      </c>
      <c r="T4" s="2">
        <v>4</v>
      </c>
      <c r="U4" s="2">
        <v>4</v>
      </c>
    </row>
    <row r="5" spans="1:21" x14ac:dyDescent="0.3">
      <c r="A5" s="2" t="s">
        <v>85</v>
      </c>
      <c r="B5" s="14" t="s">
        <v>83</v>
      </c>
      <c r="C5" s="2" t="s">
        <v>84</v>
      </c>
      <c r="D5" s="2">
        <v>4</v>
      </c>
      <c r="E5" s="2">
        <v>4</v>
      </c>
      <c r="F5" s="2">
        <v>4</v>
      </c>
      <c r="G5" s="2">
        <v>4</v>
      </c>
      <c r="H5" s="2">
        <v>4</v>
      </c>
      <c r="I5" s="2">
        <v>3</v>
      </c>
      <c r="J5" s="2">
        <v>2</v>
      </c>
      <c r="K5" s="2">
        <v>4</v>
      </c>
      <c r="L5" s="2">
        <v>4</v>
      </c>
      <c r="M5" s="2">
        <v>4</v>
      </c>
      <c r="N5" s="2">
        <v>4</v>
      </c>
      <c r="O5" s="2">
        <v>4</v>
      </c>
      <c r="P5" s="2">
        <v>3</v>
      </c>
      <c r="Q5" s="2">
        <v>3</v>
      </c>
      <c r="R5" s="2">
        <v>2</v>
      </c>
      <c r="S5" s="2">
        <v>4</v>
      </c>
      <c r="T5" s="2">
        <v>4</v>
      </c>
      <c r="U5" s="2">
        <v>4</v>
      </c>
    </row>
    <row r="6" spans="1:21" x14ac:dyDescent="0.3">
      <c r="A6" s="2" t="s">
        <v>86</v>
      </c>
      <c r="B6" s="14" t="s">
        <v>83</v>
      </c>
      <c r="C6" s="2" t="s">
        <v>84</v>
      </c>
      <c r="D6" s="2">
        <v>4</v>
      </c>
      <c r="E6" s="2">
        <v>4</v>
      </c>
      <c r="F6" s="2">
        <v>4</v>
      </c>
      <c r="G6" s="2">
        <v>3</v>
      </c>
      <c r="H6" s="2">
        <v>3</v>
      </c>
      <c r="I6" s="2">
        <v>2</v>
      </c>
      <c r="J6" s="2">
        <v>4</v>
      </c>
      <c r="K6" s="2">
        <v>4</v>
      </c>
      <c r="L6" s="2">
        <v>4</v>
      </c>
      <c r="M6" s="2">
        <v>4</v>
      </c>
      <c r="N6" s="2">
        <v>4</v>
      </c>
      <c r="O6" s="2">
        <v>3</v>
      </c>
      <c r="P6" s="2">
        <v>3</v>
      </c>
      <c r="Q6" s="2">
        <v>4</v>
      </c>
      <c r="R6" s="2">
        <v>4</v>
      </c>
      <c r="S6" s="2">
        <v>4</v>
      </c>
      <c r="T6" s="2">
        <v>4</v>
      </c>
      <c r="U6" s="2">
        <v>4</v>
      </c>
    </row>
    <row r="7" spans="1:21" x14ac:dyDescent="0.3">
      <c r="A7" s="2" t="s">
        <v>87</v>
      </c>
      <c r="B7" s="14" t="s">
        <v>83</v>
      </c>
      <c r="C7" s="2" t="s">
        <v>84</v>
      </c>
      <c r="D7" s="2">
        <v>4</v>
      </c>
      <c r="E7" s="2">
        <v>4</v>
      </c>
      <c r="F7" s="2">
        <v>3</v>
      </c>
      <c r="G7" s="2">
        <v>3</v>
      </c>
      <c r="H7" s="2">
        <v>4</v>
      </c>
      <c r="I7" s="2">
        <v>4</v>
      </c>
      <c r="J7" s="2">
        <v>4</v>
      </c>
      <c r="K7" s="2">
        <v>4</v>
      </c>
      <c r="L7" s="2">
        <v>4</v>
      </c>
      <c r="M7" s="2">
        <v>4</v>
      </c>
      <c r="N7" s="2">
        <v>3</v>
      </c>
      <c r="O7" s="2">
        <v>3</v>
      </c>
      <c r="P7" s="2">
        <v>4</v>
      </c>
      <c r="Q7" s="2">
        <v>4</v>
      </c>
      <c r="R7" s="2">
        <v>4</v>
      </c>
      <c r="S7" s="2">
        <v>4</v>
      </c>
      <c r="T7" s="2">
        <v>4</v>
      </c>
      <c r="U7" s="2">
        <v>3</v>
      </c>
    </row>
    <row r="8" spans="1:21" x14ac:dyDescent="0.3">
      <c r="A8" s="2" t="s">
        <v>88</v>
      </c>
      <c r="B8" s="14" t="s">
        <v>83</v>
      </c>
      <c r="C8" s="2" t="s">
        <v>84</v>
      </c>
      <c r="D8" s="2">
        <v>4</v>
      </c>
      <c r="E8" s="2">
        <v>3</v>
      </c>
      <c r="F8" s="2">
        <v>3</v>
      </c>
      <c r="G8" s="2">
        <v>4</v>
      </c>
      <c r="H8" s="2">
        <v>4</v>
      </c>
      <c r="I8" s="2">
        <v>4</v>
      </c>
      <c r="J8" s="2">
        <v>4</v>
      </c>
      <c r="K8" s="2">
        <v>4</v>
      </c>
      <c r="L8" s="2">
        <v>3</v>
      </c>
      <c r="M8" s="2">
        <v>3</v>
      </c>
      <c r="N8" s="2">
        <v>2</v>
      </c>
      <c r="O8" s="2">
        <v>4</v>
      </c>
      <c r="P8" s="2">
        <v>4</v>
      </c>
      <c r="Q8" s="2">
        <v>4</v>
      </c>
      <c r="R8" s="2">
        <v>4</v>
      </c>
      <c r="S8" s="2">
        <v>4</v>
      </c>
      <c r="T8" s="2">
        <v>3</v>
      </c>
      <c r="U8" s="2">
        <v>3</v>
      </c>
    </row>
    <row r="9" spans="1:21" x14ac:dyDescent="0.3">
      <c r="A9" s="2" t="s">
        <v>89</v>
      </c>
      <c r="B9" s="14" t="s">
        <v>83</v>
      </c>
      <c r="C9" s="2" t="s">
        <v>84</v>
      </c>
      <c r="D9" s="2">
        <v>3</v>
      </c>
      <c r="E9" s="2">
        <v>2</v>
      </c>
      <c r="F9" s="2">
        <v>4</v>
      </c>
      <c r="G9" s="2">
        <v>4</v>
      </c>
      <c r="H9" s="2">
        <v>4</v>
      </c>
      <c r="I9" s="2">
        <v>4</v>
      </c>
      <c r="J9" s="2">
        <v>4</v>
      </c>
      <c r="K9" s="2">
        <v>3</v>
      </c>
      <c r="L9" s="2">
        <v>3</v>
      </c>
      <c r="M9" s="2">
        <v>4</v>
      </c>
      <c r="N9" s="2">
        <v>4</v>
      </c>
      <c r="O9" s="2">
        <v>4</v>
      </c>
      <c r="P9" s="2">
        <v>4</v>
      </c>
      <c r="Q9" s="2">
        <v>4</v>
      </c>
      <c r="R9" s="2">
        <v>4</v>
      </c>
      <c r="S9" s="2">
        <v>3</v>
      </c>
      <c r="T9" s="2">
        <v>3</v>
      </c>
      <c r="U9" s="2">
        <v>4</v>
      </c>
    </row>
    <row r="10" spans="1:21" x14ac:dyDescent="0.3">
      <c r="A10" s="2" t="s">
        <v>90</v>
      </c>
      <c r="B10" s="14" t="s">
        <v>83</v>
      </c>
      <c r="C10" s="2" t="s">
        <v>84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3</v>
      </c>
      <c r="K10" s="2">
        <v>3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3</v>
      </c>
      <c r="R10" s="2">
        <v>3</v>
      </c>
      <c r="S10" s="2">
        <v>2</v>
      </c>
      <c r="T10" s="2">
        <v>4</v>
      </c>
      <c r="U10" s="2">
        <v>4</v>
      </c>
    </row>
    <row r="11" spans="1:21" x14ac:dyDescent="0.3">
      <c r="A11" s="2" t="s">
        <v>91</v>
      </c>
      <c r="B11" s="14" t="s">
        <v>83</v>
      </c>
      <c r="C11" s="2" t="s">
        <v>84</v>
      </c>
      <c r="D11" s="2">
        <v>4</v>
      </c>
      <c r="E11" s="2">
        <v>4</v>
      </c>
      <c r="F11" s="2">
        <v>4</v>
      </c>
      <c r="G11" s="2">
        <v>4</v>
      </c>
      <c r="H11" s="2">
        <v>3</v>
      </c>
      <c r="I11" s="2">
        <v>3</v>
      </c>
      <c r="J11" s="2">
        <v>2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3</v>
      </c>
      <c r="Q11" s="2">
        <v>3</v>
      </c>
      <c r="R11" s="2">
        <v>4</v>
      </c>
      <c r="S11" s="2">
        <v>4</v>
      </c>
      <c r="T11" s="2">
        <v>4</v>
      </c>
      <c r="U11" s="2">
        <v>4</v>
      </c>
    </row>
    <row r="12" spans="1:21" x14ac:dyDescent="0.3">
      <c r="A12" s="2" t="s">
        <v>92</v>
      </c>
      <c r="B12" s="14" t="s">
        <v>83</v>
      </c>
      <c r="C12" s="2" t="s">
        <v>84</v>
      </c>
      <c r="D12" s="2">
        <v>4</v>
      </c>
      <c r="E12" s="2">
        <v>4</v>
      </c>
      <c r="F12" s="2">
        <v>4</v>
      </c>
      <c r="G12" s="2">
        <v>3</v>
      </c>
      <c r="H12" s="2">
        <v>3</v>
      </c>
      <c r="I12" s="2">
        <v>4</v>
      </c>
      <c r="J12" s="2">
        <v>4</v>
      </c>
      <c r="K12" s="2">
        <v>4</v>
      </c>
      <c r="L12" s="2">
        <v>4</v>
      </c>
      <c r="M12" s="2">
        <v>4</v>
      </c>
      <c r="N12" s="2">
        <v>4</v>
      </c>
      <c r="O12" s="2">
        <v>3</v>
      </c>
      <c r="P12" s="2">
        <v>3</v>
      </c>
      <c r="Q12" s="2">
        <v>4</v>
      </c>
      <c r="R12" s="2">
        <v>4</v>
      </c>
      <c r="S12" s="2">
        <v>4</v>
      </c>
      <c r="T12" s="2">
        <v>4</v>
      </c>
      <c r="U12" s="2">
        <v>4</v>
      </c>
    </row>
    <row r="13" spans="1:21" x14ac:dyDescent="0.3">
      <c r="A13" s="2" t="s">
        <v>93</v>
      </c>
      <c r="B13" s="14" t="s">
        <v>83</v>
      </c>
      <c r="C13" s="2" t="s">
        <v>84</v>
      </c>
      <c r="D13" s="2">
        <v>4</v>
      </c>
      <c r="E13" s="2">
        <v>4</v>
      </c>
      <c r="F13" s="2">
        <v>3</v>
      </c>
      <c r="G13" s="2">
        <v>3</v>
      </c>
      <c r="H13" s="2">
        <v>4</v>
      </c>
      <c r="I13" s="2">
        <v>4</v>
      </c>
      <c r="J13" s="2">
        <v>4</v>
      </c>
      <c r="K13" s="2">
        <v>4</v>
      </c>
      <c r="L13" s="2">
        <v>4</v>
      </c>
      <c r="M13" s="2">
        <v>3</v>
      </c>
      <c r="N13" s="2">
        <v>3</v>
      </c>
      <c r="O13" s="2">
        <v>2</v>
      </c>
      <c r="P13" s="2">
        <v>4</v>
      </c>
      <c r="Q13" s="2">
        <v>4</v>
      </c>
      <c r="R13" s="2">
        <v>4</v>
      </c>
      <c r="S13" s="2">
        <v>4</v>
      </c>
      <c r="T13" s="2">
        <v>4</v>
      </c>
      <c r="U13" s="2">
        <v>3</v>
      </c>
    </row>
    <row r="14" spans="1:21" x14ac:dyDescent="0.3">
      <c r="A14" s="2" t="s">
        <v>94</v>
      </c>
      <c r="B14" s="14" t="s">
        <v>83</v>
      </c>
      <c r="C14" s="2" t="s">
        <v>95</v>
      </c>
      <c r="D14" s="2">
        <v>3</v>
      </c>
      <c r="E14" s="2">
        <v>3</v>
      </c>
      <c r="F14" s="2">
        <v>2</v>
      </c>
      <c r="G14" s="2">
        <v>4</v>
      </c>
      <c r="H14" s="2">
        <v>4</v>
      </c>
      <c r="I14" s="2">
        <v>4</v>
      </c>
      <c r="J14" s="2">
        <v>4</v>
      </c>
      <c r="K14" s="2">
        <v>4</v>
      </c>
      <c r="L14" s="2">
        <v>3</v>
      </c>
      <c r="M14" s="2">
        <v>3</v>
      </c>
      <c r="N14" s="2">
        <v>4</v>
      </c>
      <c r="O14" s="2">
        <v>4</v>
      </c>
      <c r="P14" s="2">
        <v>4</v>
      </c>
      <c r="Q14" s="2">
        <v>4</v>
      </c>
      <c r="R14" s="2">
        <v>4</v>
      </c>
      <c r="S14" s="2">
        <v>4</v>
      </c>
      <c r="T14" s="2">
        <v>3</v>
      </c>
      <c r="U14" s="2">
        <v>3</v>
      </c>
    </row>
    <row r="15" spans="1:21" x14ac:dyDescent="0.3">
      <c r="A15" s="2" t="s">
        <v>96</v>
      </c>
      <c r="B15" s="14" t="s">
        <v>83</v>
      </c>
      <c r="C15" s="2" t="s">
        <v>95</v>
      </c>
      <c r="D15" s="2">
        <v>3</v>
      </c>
      <c r="E15" s="2">
        <v>4</v>
      </c>
      <c r="F15" s="2">
        <v>4</v>
      </c>
      <c r="G15" s="2">
        <v>4</v>
      </c>
      <c r="H15" s="2">
        <v>4</v>
      </c>
      <c r="I15" s="2">
        <v>4</v>
      </c>
      <c r="J15" s="2">
        <v>4</v>
      </c>
      <c r="K15" s="2">
        <v>3</v>
      </c>
      <c r="L15" s="2">
        <v>3</v>
      </c>
      <c r="M15" s="2">
        <v>4</v>
      </c>
      <c r="N15" s="2">
        <v>4</v>
      </c>
      <c r="O15" s="2">
        <v>4</v>
      </c>
      <c r="P15" s="2">
        <v>4</v>
      </c>
      <c r="Q15" s="2">
        <v>4</v>
      </c>
      <c r="R15" s="2">
        <v>4</v>
      </c>
      <c r="S15" s="2">
        <v>3</v>
      </c>
      <c r="T15" s="2">
        <v>2</v>
      </c>
      <c r="U15" s="2">
        <v>4</v>
      </c>
    </row>
    <row r="16" spans="1:21" x14ac:dyDescent="0.3">
      <c r="A16" s="2" t="s">
        <v>97</v>
      </c>
      <c r="B16" s="14" t="s">
        <v>83</v>
      </c>
      <c r="C16" s="2" t="s">
        <v>95</v>
      </c>
      <c r="D16" s="2">
        <v>4</v>
      </c>
      <c r="E16" s="2">
        <v>4</v>
      </c>
      <c r="F16" s="2">
        <v>4</v>
      </c>
      <c r="G16" s="2">
        <v>4</v>
      </c>
      <c r="H16" s="2">
        <v>4</v>
      </c>
      <c r="I16" s="2">
        <v>4</v>
      </c>
      <c r="J16" s="2">
        <v>3</v>
      </c>
      <c r="K16" s="2">
        <v>2</v>
      </c>
      <c r="L16" s="2">
        <v>4</v>
      </c>
      <c r="M16" s="2">
        <v>4</v>
      </c>
      <c r="N16" s="2">
        <v>4</v>
      </c>
      <c r="O16" s="2">
        <v>4</v>
      </c>
      <c r="P16" s="2">
        <v>4</v>
      </c>
      <c r="Q16" s="2">
        <v>3</v>
      </c>
      <c r="R16" s="2">
        <v>3</v>
      </c>
      <c r="S16" s="2">
        <v>2</v>
      </c>
      <c r="T16" s="2">
        <v>4</v>
      </c>
      <c r="U16" s="2">
        <v>4</v>
      </c>
    </row>
    <row r="17" spans="1:21" x14ac:dyDescent="0.3">
      <c r="A17" s="2" t="s">
        <v>98</v>
      </c>
      <c r="B17" s="14" t="s">
        <v>83</v>
      </c>
      <c r="C17" s="2" t="s">
        <v>95</v>
      </c>
      <c r="D17" s="2">
        <v>4</v>
      </c>
      <c r="E17" s="2">
        <v>4</v>
      </c>
      <c r="F17" s="2">
        <v>4</v>
      </c>
      <c r="G17" s="2">
        <v>4</v>
      </c>
      <c r="H17" s="2">
        <v>3</v>
      </c>
      <c r="I17" s="2">
        <v>3</v>
      </c>
      <c r="J17" s="2">
        <v>2</v>
      </c>
      <c r="K17" s="2">
        <v>4</v>
      </c>
      <c r="L17" s="2">
        <v>4</v>
      </c>
      <c r="M17" s="2">
        <v>4</v>
      </c>
      <c r="N17" s="2">
        <v>4</v>
      </c>
      <c r="O17" s="2">
        <v>4</v>
      </c>
      <c r="P17" s="2">
        <v>3</v>
      </c>
      <c r="Q17" s="2">
        <v>3</v>
      </c>
      <c r="R17" s="2">
        <v>4</v>
      </c>
      <c r="S17" s="2">
        <v>4</v>
      </c>
      <c r="T17" s="2">
        <v>4</v>
      </c>
      <c r="U17" s="2">
        <v>4</v>
      </c>
    </row>
    <row r="18" spans="1:21" x14ac:dyDescent="0.3">
      <c r="A18" s="2" t="s">
        <v>99</v>
      </c>
      <c r="B18" s="14" t="s">
        <v>83</v>
      </c>
      <c r="C18" s="2" t="s">
        <v>95</v>
      </c>
      <c r="D18" s="2">
        <v>4</v>
      </c>
      <c r="E18" s="2">
        <v>4</v>
      </c>
      <c r="F18" s="2">
        <v>4</v>
      </c>
      <c r="G18" s="2">
        <v>3</v>
      </c>
      <c r="H18" s="2">
        <v>3</v>
      </c>
      <c r="I18" s="2">
        <v>4</v>
      </c>
      <c r="J18" s="2">
        <v>4</v>
      </c>
      <c r="K18" s="2">
        <v>4</v>
      </c>
      <c r="L18" s="2">
        <v>4</v>
      </c>
      <c r="M18" s="2">
        <v>4</v>
      </c>
      <c r="N18" s="2">
        <v>4</v>
      </c>
      <c r="O18" s="2">
        <v>3</v>
      </c>
      <c r="P18" s="2">
        <v>3</v>
      </c>
      <c r="Q18" s="2">
        <v>4</v>
      </c>
      <c r="R18" s="2">
        <v>4</v>
      </c>
      <c r="S18" s="2">
        <v>4</v>
      </c>
      <c r="T18" s="2">
        <v>4</v>
      </c>
      <c r="U18" s="2">
        <v>4</v>
      </c>
    </row>
    <row r="19" spans="1:21" x14ac:dyDescent="0.3">
      <c r="A19" s="2" t="s">
        <v>100</v>
      </c>
      <c r="B19" s="14" t="s">
        <v>83</v>
      </c>
      <c r="C19" s="2" t="s">
        <v>95</v>
      </c>
      <c r="D19" s="2">
        <v>4</v>
      </c>
      <c r="E19" s="2">
        <v>4</v>
      </c>
      <c r="F19" s="2">
        <v>3</v>
      </c>
      <c r="G19" s="2">
        <v>3</v>
      </c>
      <c r="H19" s="2">
        <v>4</v>
      </c>
      <c r="I19" s="2">
        <v>4</v>
      </c>
      <c r="J19" s="2">
        <v>4</v>
      </c>
      <c r="K19" s="2">
        <v>4</v>
      </c>
      <c r="L19" s="2">
        <v>4</v>
      </c>
      <c r="M19" s="2">
        <v>3</v>
      </c>
      <c r="N19" s="2">
        <v>3</v>
      </c>
      <c r="O19" s="2">
        <v>2</v>
      </c>
      <c r="P19" s="2">
        <v>4</v>
      </c>
      <c r="Q19" s="2">
        <v>4</v>
      </c>
      <c r="R19" s="2">
        <v>4</v>
      </c>
      <c r="S19" s="2">
        <v>4</v>
      </c>
      <c r="T19" s="2">
        <v>4</v>
      </c>
      <c r="U19" s="2">
        <v>3</v>
      </c>
    </row>
    <row r="20" spans="1:21" x14ac:dyDescent="0.3">
      <c r="A20" s="2" t="s">
        <v>101</v>
      </c>
      <c r="B20" s="14" t="s">
        <v>83</v>
      </c>
      <c r="C20" s="2" t="s">
        <v>95</v>
      </c>
      <c r="D20" s="2">
        <v>3</v>
      </c>
      <c r="E20" s="2">
        <v>3</v>
      </c>
      <c r="F20" s="2">
        <v>2</v>
      </c>
      <c r="G20" s="2">
        <v>4</v>
      </c>
      <c r="H20" s="2">
        <v>4</v>
      </c>
      <c r="I20" s="2">
        <v>4</v>
      </c>
      <c r="J20" s="2">
        <v>4</v>
      </c>
      <c r="K20" s="2">
        <v>4</v>
      </c>
      <c r="L20" s="2">
        <v>3</v>
      </c>
      <c r="M20" s="2">
        <v>3</v>
      </c>
      <c r="N20" s="2">
        <v>4</v>
      </c>
      <c r="O20" s="2">
        <v>4</v>
      </c>
      <c r="P20" s="2">
        <v>4</v>
      </c>
      <c r="Q20" s="2">
        <v>4</v>
      </c>
      <c r="R20" s="2">
        <v>4</v>
      </c>
      <c r="S20" s="2">
        <v>4</v>
      </c>
      <c r="T20" s="2">
        <v>3</v>
      </c>
      <c r="U20" s="2">
        <v>3</v>
      </c>
    </row>
    <row r="21" spans="1:21" x14ac:dyDescent="0.3">
      <c r="A21" s="2" t="s">
        <v>102</v>
      </c>
      <c r="B21" s="14" t="s">
        <v>83</v>
      </c>
      <c r="C21" s="2" t="s">
        <v>95</v>
      </c>
      <c r="D21" s="2">
        <v>3</v>
      </c>
      <c r="E21" s="2">
        <v>4</v>
      </c>
      <c r="F21" s="2">
        <v>4</v>
      </c>
      <c r="G21" s="2">
        <v>4</v>
      </c>
      <c r="H21" s="2">
        <v>4</v>
      </c>
      <c r="I21" s="2">
        <v>4</v>
      </c>
      <c r="J21" s="2">
        <v>4</v>
      </c>
      <c r="K21" s="2">
        <v>3</v>
      </c>
      <c r="L21" s="2">
        <v>3</v>
      </c>
      <c r="M21" s="2">
        <v>4</v>
      </c>
      <c r="N21" s="2">
        <v>4</v>
      </c>
      <c r="O21" s="2">
        <v>4</v>
      </c>
      <c r="P21" s="2">
        <v>4</v>
      </c>
      <c r="Q21" s="2">
        <v>4</v>
      </c>
      <c r="R21" s="2">
        <v>3</v>
      </c>
      <c r="S21" s="2">
        <v>3</v>
      </c>
      <c r="T21" s="2">
        <v>2</v>
      </c>
      <c r="U21" s="2">
        <v>4</v>
      </c>
    </row>
    <row r="22" spans="1:21" x14ac:dyDescent="0.3">
      <c r="A22" s="2" t="s">
        <v>103</v>
      </c>
      <c r="B22" s="14" t="s">
        <v>83</v>
      </c>
      <c r="C22" s="2" t="s">
        <v>95</v>
      </c>
      <c r="D22" s="2">
        <v>4</v>
      </c>
      <c r="E22" s="2">
        <v>4</v>
      </c>
      <c r="F22" s="2">
        <v>4</v>
      </c>
      <c r="G22" s="2">
        <v>4</v>
      </c>
      <c r="H22" s="2">
        <v>4</v>
      </c>
      <c r="I22" s="2">
        <v>3</v>
      </c>
      <c r="J22" s="2">
        <v>3</v>
      </c>
      <c r="K22" s="2">
        <v>2</v>
      </c>
      <c r="L22" s="2">
        <v>4</v>
      </c>
      <c r="M22" s="2">
        <v>4</v>
      </c>
      <c r="N22" s="2">
        <v>4</v>
      </c>
      <c r="O22" s="2">
        <v>4</v>
      </c>
      <c r="P22" s="2">
        <v>4</v>
      </c>
      <c r="Q22" s="2">
        <v>3</v>
      </c>
      <c r="R22" s="2">
        <v>3</v>
      </c>
      <c r="S22" s="2">
        <v>4</v>
      </c>
      <c r="T22" s="2">
        <v>4</v>
      </c>
      <c r="U22" s="2">
        <v>4</v>
      </c>
    </row>
    <row r="23" spans="1:21" x14ac:dyDescent="0.3">
      <c r="A23" s="2" t="s">
        <v>104</v>
      </c>
      <c r="B23" s="14" t="s">
        <v>83</v>
      </c>
      <c r="C23" s="2" t="s">
        <v>95</v>
      </c>
      <c r="D23" s="2">
        <v>4</v>
      </c>
      <c r="E23" s="2">
        <v>4</v>
      </c>
      <c r="F23" s="2">
        <v>4</v>
      </c>
      <c r="G23" s="2">
        <v>4</v>
      </c>
      <c r="H23" s="2">
        <v>3</v>
      </c>
      <c r="I23" s="2">
        <v>3</v>
      </c>
      <c r="J23" s="2">
        <v>4</v>
      </c>
      <c r="K23" s="2">
        <v>4</v>
      </c>
      <c r="L23" s="2">
        <v>4</v>
      </c>
      <c r="M23" s="2">
        <v>4</v>
      </c>
      <c r="N23" s="2">
        <v>4</v>
      </c>
      <c r="O23" s="2">
        <v>4</v>
      </c>
      <c r="P23" s="2">
        <v>3</v>
      </c>
      <c r="Q23" s="2">
        <v>3</v>
      </c>
      <c r="R23" s="2">
        <v>4</v>
      </c>
      <c r="S23" s="2">
        <v>4</v>
      </c>
      <c r="T23" s="2">
        <v>4</v>
      </c>
      <c r="U23" s="2">
        <v>4</v>
      </c>
    </row>
    <row r="24" spans="1:21" x14ac:dyDescent="0.3">
      <c r="A24" s="2" t="s">
        <v>105</v>
      </c>
      <c r="B24" s="14" t="s">
        <v>83</v>
      </c>
      <c r="C24" s="2" t="s">
        <v>106</v>
      </c>
      <c r="D24" s="2">
        <v>4</v>
      </c>
      <c r="E24" s="2">
        <v>4</v>
      </c>
      <c r="F24" s="2">
        <v>4</v>
      </c>
      <c r="G24" s="2">
        <v>3</v>
      </c>
      <c r="H24" s="2">
        <v>3</v>
      </c>
      <c r="I24" s="2">
        <v>4</v>
      </c>
      <c r="J24" s="2">
        <v>4</v>
      </c>
      <c r="K24" s="2">
        <v>4</v>
      </c>
      <c r="L24" s="2">
        <v>4</v>
      </c>
      <c r="M24" s="2">
        <v>4</v>
      </c>
      <c r="N24" s="2">
        <v>3</v>
      </c>
      <c r="O24" s="2">
        <v>3</v>
      </c>
      <c r="P24" s="2">
        <v>2</v>
      </c>
      <c r="Q24" s="2">
        <v>4</v>
      </c>
      <c r="R24" s="2">
        <v>4</v>
      </c>
      <c r="S24" s="2">
        <v>4</v>
      </c>
      <c r="T24" s="2">
        <v>4</v>
      </c>
      <c r="U24" s="2">
        <v>4</v>
      </c>
    </row>
    <row r="25" spans="1:21" x14ac:dyDescent="0.3">
      <c r="A25" s="2" t="s">
        <v>107</v>
      </c>
      <c r="B25" s="14" t="s">
        <v>83</v>
      </c>
      <c r="C25" s="2" t="s">
        <v>106</v>
      </c>
      <c r="D25" s="2">
        <v>4</v>
      </c>
      <c r="E25" s="2">
        <v>3</v>
      </c>
      <c r="F25" s="2">
        <v>3</v>
      </c>
      <c r="G25" s="2">
        <v>2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3</v>
      </c>
      <c r="N25" s="2">
        <v>3</v>
      </c>
      <c r="O25" s="2">
        <v>4</v>
      </c>
      <c r="P25" s="2">
        <v>4</v>
      </c>
      <c r="Q25" s="2">
        <v>4</v>
      </c>
      <c r="R25" s="2">
        <v>4</v>
      </c>
      <c r="S25" s="2">
        <v>4</v>
      </c>
      <c r="T25" s="2">
        <v>4</v>
      </c>
      <c r="U25" s="2">
        <v>3</v>
      </c>
    </row>
    <row r="26" spans="1:21" x14ac:dyDescent="0.3">
      <c r="A26" s="2" t="s">
        <v>108</v>
      </c>
      <c r="B26" s="14" t="s">
        <v>83</v>
      </c>
      <c r="C26" s="2" t="s">
        <v>106</v>
      </c>
      <c r="D26" s="2">
        <v>3</v>
      </c>
      <c r="E26" s="2">
        <v>3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3</v>
      </c>
      <c r="M26" s="2">
        <v>3</v>
      </c>
      <c r="N26" s="2">
        <v>4</v>
      </c>
      <c r="O26" s="2">
        <v>4</v>
      </c>
      <c r="P26" s="2">
        <v>4</v>
      </c>
      <c r="Q26" s="2">
        <v>4</v>
      </c>
      <c r="R26" s="2">
        <v>4</v>
      </c>
      <c r="S26" s="2">
        <v>4</v>
      </c>
      <c r="T26" s="2">
        <v>3</v>
      </c>
      <c r="U26" s="2">
        <v>2</v>
      </c>
    </row>
    <row r="27" spans="1:21" x14ac:dyDescent="0.3">
      <c r="A27" s="2" t="s">
        <v>109</v>
      </c>
      <c r="B27" s="14" t="s">
        <v>83</v>
      </c>
      <c r="C27" s="2" t="s">
        <v>106</v>
      </c>
      <c r="D27" s="2">
        <v>3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4</v>
      </c>
      <c r="K27" s="2">
        <v>3</v>
      </c>
      <c r="L27" s="2">
        <v>2</v>
      </c>
      <c r="M27" s="2">
        <v>4</v>
      </c>
      <c r="N27" s="2">
        <v>4</v>
      </c>
      <c r="O27" s="2">
        <v>4</v>
      </c>
      <c r="P27" s="2">
        <v>4</v>
      </c>
      <c r="Q27" s="2">
        <v>4</v>
      </c>
      <c r="R27" s="2">
        <v>3</v>
      </c>
      <c r="S27" s="2">
        <v>3</v>
      </c>
      <c r="T27" s="2">
        <v>2</v>
      </c>
      <c r="U27" s="2">
        <v>4</v>
      </c>
    </row>
    <row r="28" spans="1:21" x14ac:dyDescent="0.3">
      <c r="A28" s="2" t="s">
        <v>110</v>
      </c>
      <c r="B28" s="14" t="s">
        <v>83</v>
      </c>
      <c r="C28" s="2" t="s">
        <v>106</v>
      </c>
      <c r="D28" s="2">
        <v>4</v>
      </c>
      <c r="E28" s="2">
        <v>4</v>
      </c>
      <c r="F28" s="2">
        <v>4</v>
      </c>
      <c r="G28" s="2">
        <v>4</v>
      </c>
      <c r="H28" s="2">
        <v>4</v>
      </c>
      <c r="I28" s="2">
        <v>3</v>
      </c>
      <c r="J28" s="2">
        <v>3</v>
      </c>
      <c r="K28" s="2">
        <v>2</v>
      </c>
      <c r="L28" s="2">
        <v>4</v>
      </c>
      <c r="M28" s="2">
        <v>4</v>
      </c>
      <c r="N28" s="2">
        <v>4</v>
      </c>
      <c r="O28" s="2">
        <v>4</v>
      </c>
      <c r="P28" s="2">
        <v>4</v>
      </c>
      <c r="Q28" s="2">
        <v>3</v>
      </c>
      <c r="R28" s="2">
        <v>3</v>
      </c>
      <c r="S28" s="2">
        <v>4</v>
      </c>
      <c r="T28" s="2">
        <v>4</v>
      </c>
      <c r="U28" s="2">
        <v>4</v>
      </c>
    </row>
    <row r="29" spans="1:21" x14ac:dyDescent="0.3">
      <c r="A29" s="2" t="s">
        <v>111</v>
      </c>
      <c r="B29" s="14" t="s">
        <v>83</v>
      </c>
      <c r="C29" s="2" t="s">
        <v>106</v>
      </c>
      <c r="D29" s="2">
        <v>4</v>
      </c>
      <c r="E29" s="2">
        <v>4</v>
      </c>
      <c r="F29" s="2">
        <v>4</v>
      </c>
      <c r="G29" s="2">
        <v>4</v>
      </c>
      <c r="H29" s="2">
        <v>3</v>
      </c>
      <c r="I29" s="2">
        <v>3</v>
      </c>
      <c r="J29" s="2">
        <v>4</v>
      </c>
      <c r="K29" s="2">
        <v>4</v>
      </c>
      <c r="L29" s="2">
        <v>4</v>
      </c>
      <c r="M29" s="2">
        <v>4</v>
      </c>
      <c r="N29" s="2">
        <v>4</v>
      </c>
      <c r="O29" s="2">
        <v>4</v>
      </c>
      <c r="P29" s="2">
        <v>3</v>
      </c>
      <c r="Q29" s="2">
        <v>3</v>
      </c>
      <c r="R29" s="2">
        <v>4</v>
      </c>
      <c r="S29" s="2">
        <v>4</v>
      </c>
      <c r="T29" s="2">
        <v>4</v>
      </c>
      <c r="U29" s="2">
        <v>4</v>
      </c>
    </row>
    <row r="30" spans="1:21" x14ac:dyDescent="0.3">
      <c r="A30" s="2" t="s">
        <v>112</v>
      </c>
      <c r="B30" s="14" t="s">
        <v>83</v>
      </c>
      <c r="C30" s="2" t="s">
        <v>106</v>
      </c>
      <c r="D30" s="2">
        <v>4</v>
      </c>
      <c r="E30" s="2">
        <v>4</v>
      </c>
      <c r="F30" s="2">
        <v>4</v>
      </c>
      <c r="G30" s="2">
        <v>3</v>
      </c>
      <c r="H30" s="2">
        <v>3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3</v>
      </c>
      <c r="O30" s="2">
        <v>3</v>
      </c>
      <c r="P30" s="2">
        <v>2</v>
      </c>
      <c r="Q30" s="2">
        <v>4</v>
      </c>
      <c r="R30" s="2">
        <v>4</v>
      </c>
      <c r="S30" s="2">
        <v>4</v>
      </c>
      <c r="T30" s="2">
        <v>4</v>
      </c>
      <c r="U30" s="2">
        <v>4</v>
      </c>
    </row>
    <row r="31" spans="1:21" x14ac:dyDescent="0.3">
      <c r="A31" s="2" t="s">
        <v>113</v>
      </c>
      <c r="B31" s="14" t="s">
        <v>83</v>
      </c>
      <c r="C31" s="2" t="s">
        <v>106</v>
      </c>
      <c r="D31" s="2">
        <v>4</v>
      </c>
      <c r="E31" s="2">
        <v>3</v>
      </c>
      <c r="F31" s="2">
        <v>3</v>
      </c>
      <c r="G31" s="2">
        <v>2</v>
      </c>
      <c r="H31" s="2">
        <v>4</v>
      </c>
      <c r="I31" s="2">
        <v>4</v>
      </c>
      <c r="J31" s="2">
        <v>4</v>
      </c>
      <c r="K31" s="2">
        <v>4</v>
      </c>
      <c r="L31" s="2">
        <v>4</v>
      </c>
      <c r="M31" s="2">
        <v>3</v>
      </c>
      <c r="N31" s="2">
        <v>3</v>
      </c>
      <c r="O31" s="2">
        <v>4</v>
      </c>
      <c r="P31" s="2">
        <v>4</v>
      </c>
      <c r="Q31" s="2">
        <v>4</v>
      </c>
      <c r="R31" s="2">
        <v>4</v>
      </c>
      <c r="S31" s="2">
        <v>4</v>
      </c>
      <c r="T31" s="2">
        <v>4</v>
      </c>
      <c r="U31" s="2">
        <v>3</v>
      </c>
    </row>
    <row r="32" spans="1:21" x14ac:dyDescent="0.3">
      <c r="A32" s="2" t="s">
        <v>114</v>
      </c>
      <c r="B32" s="14" t="s">
        <v>83</v>
      </c>
      <c r="C32" s="2" t="s">
        <v>106</v>
      </c>
      <c r="D32" s="2">
        <v>3</v>
      </c>
      <c r="E32" s="2">
        <v>3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  <c r="K32" s="2">
        <v>4</v>
      </c>
      <c r="L32" s="2">
        <v>3</v>
      </c>
      <c r="M32" s="2">
        <v>3</v>
      </c>
      <c r="N32" s="2">
        <v>4</v>
      </c>
      <c r="O32" s="2">
        <v>4</v>
      </c>
      <c r="P32" s="2">
        <v>4</v>
      </c>
      <c r="Q32" s="2">
        <v>4</v>
      </c>
      <c r="R32" s="2">
        <v>4</v>
      </c>
      <c r="S32" s="2">
        <v>3</v>
      </c>
      <c r="T32" s="2">
        <v>3</v>
      </c>
      <c r="U32" s="2">
        <v>2</v>
      </c>
    </row>
    <row r="33" spans="1:21" x14ac:dyDescent="0.3">
      <c r="A33" s="2" t="s">
        <v>115</v>
      </c>
      <c r="B33" s="14" t="s">
        <v>83</v>
      </c>
      <c r="C33" s="2" t="s">
        <v>106</v>
      </c>
      <c r="D33" s="2">
        <v>3</v>
      </c>
      <c r="E33" s="2">
        <v>4</v>
      </c>
      <c r="F33" s="2">
        <v>4</v>
      </c>
      <c r="G33" s="2">
        <v>4</v>
      </c>
      <c r="H33" s="2">
        <v>4</v>
      </c>
      <c r="I33" s="2">
        <v>4</v>
      </c>
      <c r="J33" s="2">
        <v>3</v>
      </c>
      <c r="K33" s="2">
        <v>3</v>
      </c>
      <c r="L33" s="2">
        <v>2</v>
      </c>
      <c r="M33" s="2">
        <v>4</v>
      </c>
      <c r="N33" s="2">
        <v>4</v>
      </c>
      <c r="O33" s="2">
        <v>4</v>
      </c>
      <c r="P33" s="2">
        <v>4</v>
      </c>
      <c r="Q33" s="2">
        <v>4</v>
      </c>
      <c r="R33" s="2">
        <v>3</v>
      </c>
      <c r="S33" s="2">
        <v>3</v>
      </c>
      <c r="T33" s="2">
        <v>4</v>
      </c>
      <c r="U33" s="2">
        <v>4</v>
      </c>
    </row>
    <row r="34" spans="1:21" x14ac:dyDescent="0.3">
      <c r="A34" s="2" t="s">
        <v>116</v>
      </c>
      <c r="B34" s="14" t="s">
        <v>83</v>
      </c>
      <c r="C34" s="2" t="s">
        <v>117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3</v>
      </c>
      <c r="J34" s="2">
        <v>3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3</v>
      </c>
      <c r="R34" s="2">
        <v>3</v>
      </c>
      <c r="S34" s="2">
        <v>4</v>
      </c>
      <c r="T34" s="2">
        <v>4</v>
      </c>
      <c r="U34" s="2">
        <v>4</v>
      </c>
    </row>
    <row r="35" spans="1:21" x14ac:dyDescent="0.3">
      <c r="A35" s="2" t="s">
        <v>118</v>
      </c>
      <c r="B35" s="14" t="s">
        <v>83</v>
      </c>
      <c r="C35" s="2" t="s">
        <v>117</v>
      </c>
      <c r="D35" s="2">
        <v>4</v>
      </c>
      <c r="E35" s="2">
        <v>4</v>
      </c>
      <c r="F35" s="2">
        <v>4</v>
      </c>
      <c r="G35" s="2">
        <v>4</v>
      </c>
      <c r="H35" s="2">
        <v>3</v>
      </c>
      <c r="I35" s="2">
        <v>3</v>
      </c>
      <c r="J35" s="2">
        <v>4</v>
      </c>
      <c r="K35" s="2">
        <v>4</v>
      </c>
      <c r="L35" s="2">
        <v>4</v>
      </c>
      <c r="M35" s="2">
        <v>4</v>
      </c>
      <c r="N35" s="2">
        <v>4</v>
      </c>
      <c r="O35" s="2">
        <v>3</v>
      </c>
      <c r="P35" s="2">
        <v>3</v>
      </c>
      <c r="Q35" s="2">
        <v>2</v>
      </c>
      <c r="R35" s="2">
        <v>4</v>
      </c>
      <c r="S35" s="2">
        <v>4</v>
      </c>
      <c r="T35" s="2">
        <v>4</v>
      </c>
      <c r="U35" s="2">
        <v>4</v>
      </c>
    </row>
    <row r="36" spans="1:21" x14ac:dyDescent="0.3">
      <c r="A36" s="2" t="s">
        <v>119</v>
      </c>
      <c r="B36" s="14" t="s">
        <v>120</v>
      </c>
      <c r="C36" s="2" t="s">
        <v>84</v>
      </c>
      <c r="D36" s="2">
        <v>4</v>
      </c>
      <c r="E36" s="2">
        <v>4</v>
      </c>
      <c r="F36" s="2">
        <v>3</v>
      </c>
      <c r="G36" s="2">
        <v>3</v>
      </c>
      <c r="H36" s="2">
        <v>2</v>
      </c>
      <c r="I36" s="2">
        <v>4</v>
      </c>
      <c r="J36" s="2">
        <v>4</v>
      </c>
      <c r="K36" s="2">
        <v>4</v>
      </c>
      <c r="L36" s="2">
        <v>4</v>
      </c>
      <c r="M36" s="2">
        <v>4</v>
      </c>
      <c r="N36" s="2">
        <v>3</v>
      </c>
      <c r="O36" s="2">
        <v>3</v>
      </c>
      <c r="P36" s="2">
        <v>4</v>
      </c>
      <c r="Q36" s="2">
        <v>4</v>
      </c>
      <c r="R36" s="2">
        <v>4</v>
      </c>
      <c r="S36" s="2">
        <v>4</v>
      </c>
      <c r="T36" s="2">
        <v>4</v>
      </c>
      <c r="U36" s="2">
        <v>4</v>
      </c>
    </row>
    <row r="37" spans="1:21" x14ac:dyDescent="0.3">
      <c r="A37" s="2" t="s">
        <v>121</v>
      </c>
      <c r="B37" s="14" t="s">
        <v>120</v>
      </c>
      <c r="C37" s="2" t="s">
        <v>84</v>
      </c>
      <c r="D37" s="2">
        <v>4</v>
      </c>
      <c r="E37" s="2">
        <v>3</v>
      </c>
      <c r="F37" s="2">
        <v>3</v>
      </c>
      <c r="G37" s="2">
        <v>4</v>
      </c>
      <c r="H37" s="2">
        <v>4</v>
      </c>
      <c r="I37" s="2">
        <v>4</v>
      </c>
      <c r="J37" s="2">
        <v>4</v>
      </c>
      <c r="K37" s="2">
        <v>4</v>
      </c>
      <c r="L37" s="2">
        <v>4</v>
      </c>
      <c r="M37" s="2">
        <v>3</v>
      </c>
      <c r="N37" s="2">
        <v>3</v>
      </c>
      <c r="O37" s="2">
        <v>4</v>
      </c>
      <c r="P37" s="2">
        <v>4</v>
      </c>
      <c r="Q37" s="2">
        <v>4</v>
      </c>
      <c r="R37" s="2">
        <v>4</v>
      </c>
      <c r="S37" s="2">
        <v>4</v>
      </c>
      <c r="T37" s="2">
        <v>4</v>
      </c>
      <c r="U37" s="2">
        <v>3</v>
      </c>
    </row>
    <row r="38" spans="1:21" x14ac:dyDescent="0.3">
      <c r="A38" s="2" t="s">
        <v>122</v>
      </c>
      <c r="B38" s="14" t="s">
        <v>120</v>
      </c>
      <c r="C38" s="2" t="s">
        <v>84</v>
      </c>
      <c r="D38" s="2">
        <v>3</v>
      </c>
      <c r="E38" s="2">
        <v>3</v>
      </c>
      <c r="F38" s="2">
        <v>4</v>
      </c>
      <c r="G38" s="2">
        <v>4</v>
      </c>
      <c r="H38" s="2">
        <v>4</v>
      </c>
      <c r="I38" s="2">
        <v>4</v>
      </c>
      <c r="J38" s="2">
        <v>4</v>
      </c>
      <c r="K38" s="2">
        <v>4</v>
      </c>
      <c r="L38" s="2">
        <v>3</v>
      </c>
      <c r="M38" s="2">
        <v>2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2">
        <v>3</v>
      </c>
      <c r="T38" s="2">
        <v>3</v>
      </c>
      <c r="U38" s="2">
        <v>2</v>
      </c>
    </row>
    <row r="39" spans="1:21" x14ac:dyDescent="0.3">
      <c r="A39" s="2" t="s">
        <v>123</v>
      </c>
      <c r="B39" s="14" t="s">
        <v>120</v>
      </c>
      <c r="C39" s="2" t="s">
        <v>84</v>
      </c>
      <c r="D39" s="2">
        <v>2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3</v>
      </c>
      <c r="K39" s="2">
        <v>3</v>
      </c>
      <c r="L39" s="2">
        <v>2</v>
      </c>
      <c r="M39" s="2">
        <v>4</v>
      </c>
      <c r="N39" s="2">
        <v>4</v>
      </c>
      <c r="O39" s="2">
        <v>4</v>
      </c>
      <c r="P39" s="2">
        <v>4</v>
      </c>
      <c r="Q39" s="2">
        <v>4</v>
      </c>
      <c r="R39" s="2">
        <v>3</v>
      </c>
      <c r="S39" s="2">
        <v>3</v>
      </c>
      <c r="T39" s="2">
        <v>4</v>
      </c>
      <c r="U39" s="2">
        <v>4</v>
      </c>
    </row>
    <row r="40" spans="1:21" x14ac:dyDescent="0.3">
      <c r="A40" s="2" t="s">
        <v>124</v>
      </c>
      <c r="B40" s="14" t="s">
        <v>120</v>
      </c>
      <c r="C40" s="2" t="s">
        <v>84</v>
      </c>
      <c r="D40" s="2">
        <v>4</v>
      </c>
      <c r="E40" s="2">
        <v>4</v>
      </c>
      <c r="F40" s="2">
        <v>4</v>
      </c>
      <c r="G40" s="2">
        <v>4</v>
      </c>
      <c r="H40" s="2">
        <v>4</v>
      </c>
      <c r="I40" s="2">
        <v>3</v>
      </c>
      <c r="J40" s="2">
        <v>3</v>
      </c>
      <c r="K40" s="2">
        <v>4</v>
      </c>
      <c r="L40" s="2">
        <v>4</v>
      </c>
      <c r="M40" s="2">
        <v>4</v>
      </c>
      <c r="N40" s="2">
        <v>4</v>
      </c>
      <c r="O40" s="2">
        <v>4</v>
      </c>
      <c r="P40" s="2">
        <v>4</v>
      </c>
      <c r="Q40" s="2">
        <v>3</v>
      </c>
      <c r="R40" s="2">
        <v>3</v>
      </c>
      <c r="S40" s="2">
        <v>4</v>
      </c>
      <c r="T40" s="2">
        <v>4</v>
      </c>
      <c r="U40" s="2">
        <v>4</v>
      </c>
    </row>
    <row r="41" spans="1:21" x14ac:dyDescent="0.3">
      <c r="A41" s="2" t="s">
        <v>125</v>
      </c>
      <c r="B41" s="14" t="s">
        <v>120</v>
      </c>
      <c r="C41" s="2" t="s">
        <v>84</v>
      </c>
      <c r="D41" s="2">
        <v>4</v>
      </c>
      <c r="E41" s="2">
        <v>4</v>
      </c>
      <c r="F41" s="2">
        <v>4</v>
      </c>
      <c r="G41" s="2">
        <v>4</v>
      </c>
      <c r="H41" s="2">
        <v>3</v>
      </c>
      <c r="I41" s="2">
        <v>3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3</v>
      </c>
      <c r="P41" s="2">
        <v>3</v>
      </c>
      <c r="Q41" s="2">
        <v>2</v>
      </c>
      <c r="R41" s="2">
        <v>4</v>
      </c>
      <c r="S41" s="2">
        <v>4</v>
      </c>
      <c r="T41" s="2">
        <v>4</v>
      </c>
      <c r="U41" s="2">
        <v>4</v>
      </c>
    </row>
    <row r="42" spans="1:21" x14ac:dyDescent="0.3">
      <c r="A42" s="2" t="s">
        <v>126</v>
      </c>
      <c r="B42" s="14" t="s">
        <v>120</v>
      </c>
      <c r="C42" s="2" t="s">
        <v>84</v>
      </c>
      <c r="D42" s="2">
        <v>4</v>
      </c>
      <c r="E42" s="2">
        <v>4</v>
      </c>
      <c r="F42" s="2">
        <v>3</v>
      </c>
      <c r="G42" s="2">
        <v>3</v>
      </c>
      <c r="H42" s="2">
        <v>2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3</v>
      </c>
      <c r="O42" s="2">
        <v>3</v>
      </c>
      <c r="P42" s="2">
        <v>4</v>
      </c>
      <c r="Q42" s="2">
        <v>4</v>
      </c>
      <c r="R42" s="2">
        <v>4</v>
      </c>
      <c r="S42" s="2">
        <v>4</v>
      </c>
      <c r="T42" s="2">
        <v>4</v>
      </c>
      <c r="U42" s="2">
        <v>4</v>
      </c>
    </row>
    <row r="43" spans="1:21" x14ac:dyDescent="0.3">
      <c r="A43" s="2" t="s">
        <v>127</v>
      </c>
      <c r="B43" s="14" t="s">
        <v>120</v>
      </c>
      <c r="C43" s="2" t="s">
        <v>84</v>
      </c>
      <c r="D43" s="2">
        <v>4</v>
      </c>
      <c r="E43" s="2">
        <v>3</v>
      </c>
      <c r="F43" s="2">
        <v>3</v>
      </c>
      <c r="G43" s="2">
        <v>4</v>
      </c>
      <c r="H43" s="2">
        <v>4</v>
      </c>
      <c r="I43" s="2">
        <v>4</v>
      </c>
      <c r="J43" s="2">
        <v>4</v>
      </c>
      <c r="K43" s="2">
        <v>4</v>
      </c>
      <c r="L43" s="2">
        <v>4</v>
      </c>
      <c r="M43" s="2">
        <v>3</v>
      </c>
      <c r="N43" s="2">
        <v>3</v>
      </c>
      <c r="O43" s="2">
        <v>4</v>
      </c>
      <c r="P43" s="2">
        <v>4</v>
      </c>
      <c r="Q43" s="2">
        <v>4</v>
      </c>
      <c r="R43" s="2">
        <v>4</v>
      </c>
      <c r="S43" s="2">
        <v>4</v>
      </c>
      <c r="T43" s="2">
        <v>3</v>
      </c>
      <c r="U43" s="2">
        <v>3</v>
      </c>
    </row>
    <row r="44" spans="1:21" x14ac:dyDescent="0.3">
      <c r="A44" s="2" t="s">
        <v>128</v>
      </c>
      <c r="B44" s="14" t="s">
        <v>120</v>
      </c>
      <c r="C44" s="2" t="s">
        <v>84</v>
      </c>
      <c r="D44" s="2">
        <v>3</v>
      </c>
      <c r="E44" s="2">
        <v>3</v>
      </c>
      <c r="F44" s="2">
        <v>4</v>
      </c>
      <c r="G44" s="2">
        <v>4</v>
      </c>
      <c r="H44" s="2">
        <v>4</v>
      </c>
      <c r="I44" s="2">
        <v>4</v>
      </c>
      <c r="J44" s="2">
        <v>4</v>
      </c>
      <c r="K44" s="2">
        <v>3</v>
      </c>
      <c r="L44" s="2">
        <v>3</v>
      </c>
      <c r="M44" s="2">
        <v>2</v>
      </c>
      <c r="N44" s="2">
        <v>4</v>
      </c>
      <c r="O44" s="2">
        <v>4</v>
      </c>
      <c r="P44" s="2">
        <v>4</v>
      </c>
      <c r="Q44" s="2">
        <v>4</v>
      </c>
      <c r="R44" s="2">
        <v>4</v>
      </c>
      <c r="S44" s="2">
        <v>3</v>
      </c>
      <c r="T44" s="2">
        <v>3</v>
      </c>
      <c r="U44" s="2">
        <v>4</v>
      </c>
    </row>
    <row r="45" spans="1:21" x14ac:dyDescent="0.3">
      <c r="A45" s="2" t="s">
        <v>129</v>
      </c>
      <c r="B45" s="14" t="s">
        <v>120</v>
      </c>
      <c r="C45" s="2" t="s">
        <v>84</v>
      </c>
      <c r="D45" s="2">
        <v>2</v>
      </c>
      <c r="E45" s="2">
        <v>4</v>
      </c>
      <c r="F45" s="2">
        <v>4</v>
      </c>
      <c r="G45" s="2">
        <v>4</v>
      </c>
      <c r="H45" s="2">
        <v>4</v>
      </c>
      <c r="I45" s="2">
        <v>4</v>
      </c>
      <c r="J45" s="2">
        <v>3</v>
      </c>
      <c r="K45" s="2">
        <v>3</v>
      </c>
      <c r="L45" s="2">
        <v>4</v>
      </c>
      <c r="M45" s="2">
        <v>4</v>
      </c>
      <c r="N45" s="2">
        <v>4</v>
      </c>
      <c r="O45" s="2">
        <v>4</v>
      </c>
      <c r="P45" s="2">
        <v>4</v>
      </c>
      <c r="Q45" s="2">
        <v>4</v>
      </c>
      <c r="R45" s="2">
        <v>3</v>
      </c>
      <c r="S45" s="2">
        <v>3</v>
      </c>
      <c r="T45" s="2">
        <v>4</v>
      </c>
      <c r="U45" s="2">
        <v>4</v>
      </c>
    </row>
    <row r="46" spans="1:21" x14ac:dyDescent="0.3">
      <c r="A46" s="2" t="s">
        <v>130</v>
      </c>
      <c r="B46" s="14" t="s">
        <v>120</v>
      </c>
      <c r="C46" s="2" t="s">
        <v>95</v>
      </c>
      <c r="D46" s="2">
        <v>4</v>
      </c>
      <c r="E46" s="2">
        <v>4</v>
      </c>
      <c r="F46" s="2">
        <v>4</v>
      </c>
      <c r="G46" s="2">
        <v>4</v>
      </c>
      <c r="H46" s="2">
        <v>4</v>
      </c>
      <c r="I46" s="2">
        <v>3</v>
      </c>
      <c r="J46" s="2">
        <v>3</v>
      </c>
      <c r="K46" s="2">
        <v>4</v>
      </c>
      <c r="L46" s="2">
        <v>4</v>
      </c>
      <c r="M46" s="2">
        <v>4</v>
      </c>
      <c r="N46" s="2">
        <v>4</v>
      </c>
      <c r="O46" s="2">
        <v>4</v>
      </c>
      <c r="P46" s="2">
        <v>3</v>
      </c>
      <c r="Q46" s="2">
        <v>3</v>
      </c>
      <c r="R46" s="2">
        <v>2</v>
      </c>
      <c r="S46" s="2">
        <v>4</v>
      </c>
      <c r="T46" s="2">
        <v>4</v>
      </c>
      <c r="U46" s="2">
        <v>4</v>
      </c>
    </row>
    <row r="47" spans="1:21" x14ac:dyDescent="0.3">
      <c r="A47" s="2" t="s">
        <v>131</v>
      </c>
      <c r="B47" s="14" t="s">
        <v>120</v>
      </c>
      <c r="C47" s="2" t="s">
        <v>95</v>
      </c>
      <c r="D47" s="2">
        <v>4</v>
      </c>
      <c r="E47" s="2">
        <v>4</v>
      </c>
      <c r="F47" s="2">
        <v>4</v>
      </c>
      <c r="G47" s="2">
        <v>3</v>
      </c>
      <c r="H47" s="2">
        <v>3</v>
      </c>
      <c r="I47" s="2">
        <v>2</v>
      </c>
      <c r="J47" s="2">
        <v>4</v>
      </c>
      <c r="K47" s="2">
        <v>4</v>
      </c>
      <c r="L47" s="2">
        <v>4</v>
      </c>
      <c r="M47" s="2">
        <v>4</v>
      </c>
      <c r="N47" s="2">
        <v>4</v>
      </c>
      <c r="O47" s="2">
        <v>3</v>
      </c>
      <c r="P47" s="2">
        <v>3</v>
      </c>
      <c r="Q47" s="2">
        <v>4</v>
      </c>
      <c r="R47" s="2">
        <v>4</v>
      </c>
      <c r="S47" s="2">
        <v>4</v>
      </c>
      <c r="T47" s="2">
        <v>4</v>
      </c>
      <c r="U47" s="2">
        <v>4</v>
      </c>
    </row>
    <row r="48" spans="1:21" x14ac:dyDescent="0.3">
      <c r="A48" s="2" t="s">
        <v>132</v>
      </c>
      <c r="B48" s="14" t="s">
        <v>120</v>
      </c>
      <c r="C48" s="2" t="s">
        <v>95</v>
      </c>
      <c r="D48" s="2">
        <v>4</v>
      </c>
      <c r="E48" s="2">
        <v>4</v>
      </c>
      <c r="F48" s="2">
        <v>3</v>
      </c>
      <c r="G48" s="2">
        <v>3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3</v>
      </c>
      <c r="O48" s="2">
        <v>3</v>
      </c>
      <c r="P48" s="2">
        <v>4</v>
      </c>
      <c r="Q48" s="2">
        <v>4</v>
      </c>
      <c r="R48" s="2">
        <v>4</v>
      </c>
      <c r="S48" s="2">
        <v>4</v>
      </c>
      <c r="T48" s="2">
        <v>4</v>
      </c>
      <c r="U48" s="2">
        <v>4</v>
      </c>
    </row>
    <row r="49" spans="1:21" x14ac:dyDescent="0.3">
      <c r="A49" s="2" t="s">
        <v>133</v>
      </c>
      <c r="B49" s="14" t="s">
        <v>120</v>
      </c>
      <c r="C49" s="2" t="s">
        <v>95</v>
      </c>
      <c r="D49" s="2">
        <v>4</v>
      </c>
      <c r="E49" s="2">
        <v>3</v>
      </c>
      <c r="F49" s="2">
        <v>3</v>
      </c>
      <c r="G49" s="2">
        <v>4</v>
      </c>
      <c r="H49" s="2">
        <v>4</v>
      </c>
      <c r="I49" s="2">
        <v>4</v>
      </c>
      <c r="J49" s="2">
        <v>4</v>
      </c>
      <c r="K49" s="2">
        <v>4</v>
      </c>
      <c r="L49" s="2">
        <v>4</v>
      </c>
      <c r="M49" s="2">
        <v>3</v>
      </c>
      <c r="N49" s="2">
        <v>2</v>
      </c>
      <c r="O49" s="2">
        <v>4</v>
      </c>
      <c r="P49" s="2">
        <v>4</v>
      </c>
      <c r="Q49" s="2">
        <v>4</v>
      </c>
      <c r="R49" s="2">
        <v>4</v>
      </c>
      <c r="S49" s="2">
        <v>4</v>
      </c>
      <c r="T49" s="2">
        <v>3</v>
      </c>
      <c r="U49" s="2">
        <v>3</v>
      </c>
    </row>
    <row r="50" spans="1:21" x14ac:dyDescent="0.3">
      <c r="A50" s="2" t="s">
        <v>134</v>
      </c>
      <c r="B50" s="14" t="s">
        <v>120</v>
      </c>
      <c r="C50" s="2" t="s">
        <v>95</v>
      </c>
      <c r="D50" s="2">
        <v>3</v>
      </c>
      <c r="E50" s="2">
        <v>2</v>
      </c>
      <c r="F50" s="2">
        <v>4</v>
      </c>
      <c r="G50" s="2">
        <v>4</v>
      </c>
      <c r="H50" s="2">
        <v>4</v>
      </c>
      <c r="I50" s="2">
        <v>4</v>
      </c>
      <c r="J50" s="2">
        <v>4</v>
      </c>
      <c r="K50" s="2">
        <v>3</v>
      </c>
      <c r="L50" s="2">
        <v>3</v>
      </c>
      <c r="M50" s="2">
        <v>2</v>
      </c>
      <c r="N50" s="2">
        <v>4</v>
      </c>
      <c r="O50" s="2">
        <v>4</v>
      </c>
      <c r="P50" s="2">
        <v>4</v>
      </c>
      <c r="Q50" s="2">
        <v>4</v>
      </c>
      <c r="R50" s="2">
        <v>4</v>
      </c>
      <c r="S50" s="2">
        <v>3</v>
      </c>
      <c r="T50" s="2">
        <v>3</v>
      </c>
      <c r="U50" s="2">
        <v>4</v>
      </c>
    </row>
    <row r="51" spans="1:21" x14ac:dyDescent="0.3">
      <c r="A51" s="2" t="s">
        <v>135</v>
      </c>
      <c r="B51" s="14" t="s">
        <v>120</v>
      </c>
      <c r="C51" s="2" t="s">
        <v>95</v>
      </c>
      <c r="D51" s="2">
        <v>2</v>
      </c>
      <c r="E51" s="2">
        <v>4</v>
      </c>
      <c r="F51" s="2">
        <v>4</v>
      </c>
      <c r="G51" s="2">
        <v>4</v>
      </c>
      <c r="H51" s="2">
        <v>4</v>
      </c>
      <c r="I51" s="2">
        <v>4</v>
      </c>
      <c r="J51" s="2">
        <v>3</v>
      </c>
      <c r="K51" s="2">
        <v>3</v>
      </c>
      <c r="L51" s="2">
        <v>4</v>
      </c>
      <c r="M51" s="2">
        <v>4</v>
      </c>
      <c r="N51" s="2">
        <v>4</v>
      </c>
      <c r="O51" s="2">
        <v>4</v>
      </c>
      <c r="P51" s="2">
        <v>4</v>
      </c>
      <c r="Q51" s="2">
        <v>4</v>
      </c>
      <c r="R51" s="2">
        <v>3</v>
      </c>
      <c r="S51" s="2">
        <v>3</v>
      </c>
      <c r="T51" s="2">
        <v>4</v>
      </c>
      <c r="U51" s="2">
        <v>4</v>
      </c>
    </row>
    <row r="52" spans="1:21" x14ac:dyDescent="0.3">
      <c r="A52" s="2" t="s">
        <v>136</v>
      </c>
      <c r="B52" s="14" t="s">
        <v>120</v>
      </c>
      <c r="C52" s="2" t="s">
        <v>95</v>
      </c>
      <c r="D52" s="2">
        <v>4</v>
      </c>
      <c r="E52" s="2">
        <v>4</v>
      </c>
      <c r="F52" s="2">
        <v>4</v>
      </c>
      <c r="G52" s="2">
        <v>4</v>
      </c>
      <c r="H52" s="2">
        <v>4</v>
      </c>
      <c r="I52" s="2">
        <v>3</v>
      </c>
      <c r="J52" s="2">
        <v>3</v>
      </c>
      <c r="K52" s="2">
        <v>4</v>
      </c>
      <c r="L52" s="2">
        <v>4</v>
      </c>
      <c r="M52" s="2">
        <v>4</v>
      </c>
      <c r="N52" s="2">
        <v>4</v>
      </c>
      <c r="O52" s="2">
        <v>4</v>
      </c>
      <c r="P52" s="2">
        <v>3</v>
      </c>
      <c r="Q52" s="2">
        <v>3</v>
      </c>
      <c r="R52" s="2">
        <v>2</v>
      </c>
      <c r="S52" s="2">
        <v>4</v>
      </c>
      <c r="T52" s="2">
        <v>4</v>
      </c>
      <c r="U52" s="2">
        <v>4</v>
      </c>
    </row>
    <row r="53" spans="1:21" x14ac:dyDescent="0.3">
      <c r="A53" s="2" t="s">
        <v>137</v>
      </c>
      <c r="B53" s="14" t="s">
        <v>120</v>
      </c>
      <c r="C53" s="2" t="s">
        <v>95</v>
      </c>
      <c r="D53" s="2">
        <v>4</v>
      </c>
      <c r="E53" s="2">
        <v>4</v>
      </c>
      <c r="F53" s="2">
        <v>4</v>
      </c>
      <c r="G53" s="2">
        <v>3</v>
      </c>
      <c r="H53" s="2">
        <v>3</v>
      </c>
      <c r="I53" s="2">
        <v>2</v>
      </c>
      <c r="J53" s="2">
        <v>4</v>
      </c>
      <c r="K53" s="2">
        <v>4</v>
      </c>
      <c r="L53" s="2">
        <v>4</v>
      </c>
      <c r="M53" s="2">
        <v>4</v>
      </c>
      <c r="N53" s="2">
        <v>4</v>
      </c>
      <c r="O53" s="2">
        <v>3</v>
      </c>
      <c r="P53" s="2">
        <v>3</v>
      </c>
      <c r="Q53" s="2">
        <v>4</v>
      </c>
      <c r="R53" s="2">
        <v>4</v>
      </c>
      <c r="S53" s="2">
        <v>4</v>
      </c>
      <c r="T53" s="2">
        <v>4</v>
      </c>
      <c r="U53" s="2">
        <v>4</v>
      </c>
    </row>
    <row r="54" spans="1:21" x14ac:dyDescent="0.3">
      <c r="A54" s="2" t="s">
        <v>138</v>
      </c>
      <c r="B54" s="14" t="s">
        <v>120</v>
      </c>
      <c r="C54" s="2" t="s">
        <v>95</v>
      </c>
      <c r="D54" s="2">
        <v>4</v>
      </c>
      <c r="E54" s="2">
        <v>4</v>
      </c>
      <c r="F54" s="2">
        <v>3</v>
      </c>
      <c r="G54" s="2">
        <v>3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3</v>
      </c>
      <c r="O54" s="2">
        <v>3</v>
      </c>
      <c r="P54" s="2">
        <v>4</v>
      </c>
      <c r="Q54" s="2">
        <v>4</v>
      </c>
      <c r="R54" s="2">
        <v>4</v>
      </c>
      <c r="S54" s="2">
        <v>4</v>
      </c>
      <c r="T54" s="2">
        <v>4</v>
      </c>
      <c r="U54" s="2">
        <v>3</v>
      </c>
    </row>
    <row r="55" spans="1:21" x14ac:dyDescent="0.3">
      <c r="A55" s="2" t="s">
        <v>139</v>
      </c>
      <c r="B55" s="14" t="s">
        <v>120</v>
      </c>
      <c r="C55" s="2" t="s">
        <v>95</v>
      </c>
      <c r="D55" s="2">
        <v>4</v>
      </c>
      <c r="E55" s="2">
        <v>3</v>
      </c>
      <c r="F55" s="2">
        <v>3</v>
      </c>
      <c r="G55" s="2">
        <v>4</v>
      </c>
      <c r="H55" s="2">
        <v>4</v>
      </c>
      <c r="I55" s="2">
        <v>4</v>
      </c>
      <c r="J55" s="2">
        <v>4</v>
      </c>
      <c r="K55" s="2">
        <v>4</v>
      </c>
      <c r="L55" s="2">
        <v>3</v>
      </c>
      <c r="M55" s="2">
        <v>3</v>
      </c>
      <c r="N55" s="2">
        <v>2</v>
      </c>
      <c r="O55" s="2">
        <v>4</v>
      </c>
      <c r="P55" s="2">
        <v>4</v>
      </c>
      <c r="Q55" s="2">
        <v>4</v>
      </c>
      <c r="R55" s="2">
        <v>4</v>
      </c>
      <c r="S55" s="2">
        <v>4</v>
      </c>
      <c r="T55" s="2">
        <v>3</v>
      </c>
      <c r="U55" s="2">
        <v>3</v>
      </c>
    </row>
    <row r="56" spans="1:21" x14ac:dyDescent="0.3">
      <c r="A56" s="2" t="s">
        <v>140</v>
      </c>
      <c r="B56" s="14" t="s">
        <v>120</v>
      </c>
      <c r="C56" s="2" t="s">
        <v>106</v>
      </c>
      <c r="D56" s="2">
        <v>3</v>
      </c>
      <c r="E56" s="2">
        <v>2</v>
      </c>
      <c r="F56" s="2">
        <v>4</v>
      </c>
      <c r="G56" s="2">
        <v>4</v>
      </c>
      <c r="H56" s="2">
        <v>4</v>
      </c>
      <c r="I56" s="2">
        <v>4</v>
      </c>
      <c r="J56" s="2">
        <v>4</v>
      </c>
      <c r="K56" s="2">
        <v>3</v>
      </c>
      <c r="L56" s="2">
        <v>3</v>
      </c>
      <c r="M56" s="2">
        <v>4</v>
      </c>
      <c r="N56" s="2">
        <v>4</v>
      </c>
      <c r="O56" s="2">
        <v>4</v>
      </c>
      <c r="P56" s="2">
        <v>4</v>
      </c>
      <c r="Q56" s="2">
        <v>4</v>
      </c>
      <c r="R56" s="2">
        <v>4</v>
      </c>
      <c r="S56" s="2">
        <v>3</v>
      </c>
      <c r="T56" s="2">
        <v>3</v>
      </c>
      <c r="U56" s="2">
        <v>4</v>
      </c>
    </row>
    <row r="57" spans="1:21" x14ac:dyDescent="0.3">
      <c r="A57" s="2" t="s">
        <v>141</v>
      </c>
      <c r="B57" s="14" t="s">
        <v>120</v>
      </c>
      <c r="C57" s="2" t="s">
        <v>106</v>
      </c>
      <c r="D57" s="2">
        <v>4</v>
      </c>
      <c r="E57" s="2">
        <v>4</v>
      </c>
      <c r="F57" s="2">
        <v>4</v>
      </c>
      <c r="G57" s="2">
        <v>4</v>
      </c>
      <c r="H57" s="2">
        <v>4</v>
      </c>
      <c r="I57" s="2">
        <v>4</v>
      </c>
      <c r="J57" s="2">
        <v>3</v>
      </c>
      <c r="K57" s="2">
        <v>3</v>
      </c>
      <c r="L57" s="2">
        <v>4</v>
      </c>
      <c r="M57" s="2">
        <v>4</v>
      </c>
      <c r="N57" s="2">
        <v>4</v>
      </c>
      <c r="O57" s="2">
        <v>4</v>
      </c>
      <c r="P57" s="2">
        <v>4</v>
      </c>
      <c r="Q57" s="2">
        <v>3</v>
      </c>
      <c r="R57" s="2">
        <v>3</v>
      </c>
      <c r="S57" s="2">
        <v>2</v>
      </c>
      <c r="T57" s="2">
        <v>4</v>
      </c>
      <c r="U57" s="2">
        <v>4</v>
      </c>
    </row>
    <row r="58" spans="1:21" x14ac:dyDescent="0.3">
      <c r="A58" s="2" t="s">
        <v>142</v>
      </c>
      <c r="B58" s="14" t="s">
        <v>120</v>
      </c>
      <c r="C58" s="2" t="s">
        <v>106</v>
      </c>
      <c r="D58" s="2">
        <v>4</v>
      </c>
      <c r="E58" s="2">
        <v>4</v>
      </c>
      <c r="F58" s="2">
        <v>4</v>
      </c>
      <c r="G58" s="2">
        <v>4</v>
      </c>
      <c r="H58" s="2">
        <v>3</v>
      </c>
      <c r="I58" s="2">
        <v>3</v>
      </c>
      <c r="J58" s="2">
        <v>2</v>
      </c>
      <c r="K58" s="2">
        <v>4</v>
      </c>
      <c r="L58" s="2">
        <v>4</v>
      </c>
      <c r="M58" s="2">
        <v>4</v>
      </c>
      <c r="N58" s="2">
        <v>4</v>
      </c>
      <c r="O58" s="2">
        <v>4</v>
      </c>
      <c r="P58" s="2">
        <v>3</v>
      </c>
      <c r="Q58" s="2">
        <v>3</v>
      </c>
      <c r="R58" s="2">
        <v>4</v>
      </c>
      <c r="S58" s="2">
        <v>4</v>
      </c>
      <c r="T58" s="2">
        <v>4</v>
      </c>
      <c r="U58" s="2">
        <v>4</v>
      </c>
    </row>
    <row r="59" spans="1:21" x14ac:dyDescent="0.3">
      <c r="A59" s="2" t="s">
        <v>143</v>
      </c>
      <c r="B59" s="14" t="s">
        <v>120</v>
      </c>
      <c r="C59" s="2" t="s">
        <v>106</v>
      </c>
      <c r="D59" s="2">
        <v>4</v>
      </c>
      <c r="E59" s="2">
        <v>4</v>
      </c>
      <c r="F59" s="2">
        <v>4</v>
      </c>
      <c r="G59" s="2">
        <v>3</v>
      </c>
      <c r="H59" s="2">
        <v>3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3</v>
      </c>
      <c r="P59" s="2">
        <v>3</v>
      </c>
      <c r="Q59" s="2">
        <v>4</v>
      </c>
      <c r="R59" s="2">
        <v>4</v>
      </c>
      <c r="S59" s="2">
        <v>4</v>
      </c>
      <c r="T59" s="2">
        <v>4</v>
      </c>
      <c r="U59" s="2">
        <v>4</v>
      </c>
    </row>
    <row r="60" spans="1:21" x14ac:dyDescent="0.3">
      <c r="A60" s="2" t="s">
        <v>144</v>
      </c>
      <c r="B60" s="14" t="s">
        <v>120</v>
      </c>
      <c r="C60" s="2" t="s">
        <v>106</v>
      </c>
      <c r="D60" s="2">
        <v>4</v>
      </c>
      <c r="E60" s="2">
        <v>4</v>
      </c>
      <c r="F60" s="2">
        <v>3</v>
      </c>
      <c r="G60" s="2">
        <v>3</v>
      </c>
      <c r="H60" s="2">
        <v>4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3</v>
      </c>
      <c r="O60" s="2">
        <v>2</v>
      </c>
      <c r="P60" s="2">
        <v>4</v>
      </c>
      <c r="Q60" s="2">
        <v>4</v>
      </c>
      <c r="R60" s="2">
        <v>4</v>
      </c>
      <c r="S60" s="2">
        <v>4</v>
      </c>
      <c r="T60" s="2">
        <v>4</v>
      </c>
      <c r="U60" s="2">
        <v>3</v>
      </c>
    </row>
    <row r="61" spans="1:21" x14ac:dyDescent="0.3">
      <c r="A61" s="2" t="s">
        <v>145</v>
      </c>
      <c r="B61" s="14" t="s">
        <v>120</v>
      </c>
      <c r="C61" s="2" t="s">
        <v>106</v>
      </c>
      <c r="D61" s="2">
        <v>4</v>
      </c>
      <c r="E61" s="2">
        <v>3</v>
      </c>
      <c r="F61" s="2">
        <v>2</v>
      </c>
      <c r="G61" s="2">
        <v>4</v>
      </c>
      <c r="H61" s="2">
        <v>4</v>
      </c>
      <c r="I61" s="2">
        <v>4</v>
      </c>
      <c r="J61" s="2">
        <v>4</v>
      </c>
      <c r="K61" s="2">
        <v>4</v>
      </c>
      <c r="L61" s="2">
        <v>3</v>
      </c>
      <c r="M61" s="2">
        <v>3</v>
      </c>
      <c r="N61" s="2">
        <v>2</v>
      </c>
      <c r="O61" s="2">
        <v>4</v>
      </c>
      <c r="P61" s="2">
        <v>4</v>
      </c>
      <c r="Q61" s="2">
        <v>4</v>
      </c>
      <c r="R61" s="2">
        <v>4</v>
      </c>
      <c r="S61" s="2">
        <v>4</v>
      </c>
      <c r="T61" s="2">
        <v>3</v>
      </c>
      <c r="U61" s="2">
        <v>3</v>
      </c>
    </row>
    <row r="62" spans="1:21" x14ac:dyDescent="0.3">
      <c r="A62" s="2" t="s">
        <v>146</v>
      </c>
      <c r="B62" s="14" t="s">
        <v>120</v>
      </c>
      <c r="C62" s="2" t="s">
        <v>106</v>
      </c>
      <c r="D62" s="2">
        <v>3</v>
      </c>
      <c r="E62" s="2">
        <v>2</v>
      </c>
      <c r="F62" s="2">
        <v>4</v>
      </c>
      <c r="G62" s="2">
        <v>4</v>
      </c>
      <c r="H62" s="2">
        <v>4</v>
      </c>
      <c r="I62" s="2">
        <v>4</v>
      </c>
      <c r="J62" s="2">
        <v>4</v>
      </c>
      <c r="K62" s="2">
        <v>3</v>
      </c>
      <c r="L62" s="2">
        <v>3</v>
      </c>
      <c r="M62" s="2">
        <v>4</v>
      </c>
      <c r="N62" s="2">
        <v>4</v>
      </c>
      <c r="O62" s="2">
        <v>4</v>
      </c>
      <c r="P62" s="2">
        <v>4</v>
      </c>
      <c r="Q62" s="2">
        <v>4</v>
      </c>
      <c r="R62" s="2">
        <v>4</v>
      </c>
      <c r="S62" s="2">
        <v>3</v>
      </c>
      <c r="T62" s="2">
        <v>3</v>
      </c>
      <c r="U62" s="2">
        <v>4</v>
      </c>
    </row>
    <row r="63" spans="1:21" x14ac:dyDescent="0.3">
      <c r="A63" s="2" t="s">
        <v>147</v>
      </c>
      <c r="B63" s="14" t="s">
        <v>120</v>
      </c>
      <c r="C63" s="2" t="s">
        <v>106</v>
      </c>
      <c r="D63" s="2">
        <v>4</v>
      </c>
      <c r="E63" s="2">
        <v>4</v>
      </c>
      <c r="F63" s="2">
        <v>4</v>
      </c>
      <c r="G63" s="2">
        <v>4</v>
      </c>
      <c r="H63" s="2">
        <v>4</v>
      </c>
      <c r="I63" s="2">
        <v>4</v>
      </c>
      <c r="J63" s="2">
        <v>3</v>
      </c>
      <c r="K63" s="2">
        <v>3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3</v>
      </c>
      <c r="R63" s="2">
        <v>3</v>
      </c>
      <c r="S63" s="2">
        <v>2</v>
      </c>
      <c r="T63" s="2">
        <v>4</v>
      </c>
      <c r="U63" s="2">
        <v>4</v>
      </c>
    </row>
    <row r="64" spans="1:21" x14ac:dyDescent="0.3">
      <c r="A64" s="2" t="s">
        <v>148</v>
      </c>
      <c r="B64" s="14" t="s">
        <v>120</v>
      </c>
      <c r="C64" s="2" t="s">
        <v>106</v>
      </c>
      <c r="D64" s="2">
        <v>4</v>
      </c>
      <c r="E64" s="2">
        <v>4</v>
      </c>
      <c r="F64" s="2">
        <v>4</v>
      </c>
      <c r="G64" s="2">
        <v>4</v>
      </c>
      <c r="H64" s="2">
        <v>3</v>
      </c>
      <c r="I64" s="2">
        <v>3</v>
      </c>
      <c r="J64" s="2">
        <v>2</v>
      </c>
      <c r="K64" s="2">
        <v>4</v>
      </c>
      <c r="L64" s="2">
        <v>4</v>
      </c>
      <c r="M64" s="2">
        <v>4</v>
      </c>
      <c r="N64" s="2">
        <v>4</v>
      </c>
      <c r="O64" s="2">
        <v>4</v>
      </c>
      <c r="P64" s="2">
        <v>3</v>
      </c>
      <c r="Q64" s="2">
        <v>3</v>
      </c>
      <c r="R64" s="2">
        <v>4</v>
      </c>
      <c r="S64" s="2">
        <v>4</v>
      </c>
      <c r="T64" s="2">
        <v>4</v>
      </c>
      <c r="U64" s="2">
        <v>4</v>
      </c>
    </row>
    <row r="65" spans="1:21" x14ac:dyDescent="0.3">
      <c r="A65" s="2" t="s">
        <v>149</v>
      </c>
      <c r="B65" s="14" t="s">
        <v>120</v>
      </c>
      <c r="C65" s="2" t="s">
        <v>106</v>
      </c>
      <c r="D65" s="2">
        <v>4</v>
      </c>
      <c r="E65" s="2">
        <v>4</v>
      </c>
      <c r="F65" s="2">
        <v>4</v>
      </c>
      <c r="G65" s="2">
        <v>3</v>
      </c>
      <c r="H65" s="2">
        <v>3</v>
      </c>
      <c r="I65" s="2">
        <v>4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3</v>
      </c>
      <c r="P65" s="2">
        <v>3</v>
      </c>
      <c r="Q65" s="2">
        <v>4</v>
      </c>
      <c r="R65" s="2">
        <v>4</v>
      </c>
      <c r="S65" s="2">
        <v>4</v>
      </c>
      <c r="T65" s="2">
        <v>4</v>
      </c>
      <c r="U65" s="2">
        <v>4</v>
      </c>
    </row>
    <row r="66" spans="1:21" x14ac:dyDescent="0.3">
      <c r="A66" s="2" t="s">
        <v>150</v>
      </c>
      <c r="B66" s="14" t="s">
        <v>120</v>
      </c>
      <c r="C66" s="2" t="s">
        <v>117</v>
      </c>
      <c r="D66" s="2">
        <v>4</v>
      </c>
      <c r="E66" s="2">
        <v>4</v>
      </c>
      <c r="F66" s="2">
        <v>3</v>
      </c>
      <c r="G66" s="2">
        <v>3</v>
      </c>
      <c r="H66" s="2">
        <v>4</v>
      </c>
      <c r="I66" s="2">
        <v>4</v>
      </c>
      <c r="J66" s="2">
        <v>4</v>
      </c>
      <c r="K66" s="2">
        <v>4</v>
      </c>
      <c r="L66" s="2">
        <v>4</v>
      </c>
      <c r="M66" s="2">
        <v>3</v>
      </c>
      <c r="N66" s="2">
        <v>3</v>
      </c>
      <c r="O66" s="2">
        <v>2</v>
      </c>
      <c r="P66" s="2">
        <v>4</v>
      </c>
      <c r="Q66" s="2">
        <v>4</v>
      </c>
      <c r="R66" s="2">
        <v>4</v>
      </c>
      <c r="S66" s="2">
        <v>4</v>
      </c>
      <c r="T66" s="2">
        <v>4</v>
      </c>
      <c r="U66" s="2">
        <v>3</v>
      </c>
    </row>
    <row r="67" spans="1:21" x14ac:dyDescent="0.3">
      <c r="A67" s="2" t="s">
        <v>151</v>
      </c>
      <c r="B67" s="14" t="s">
        <v>120</v>
      </c>
      <c r="C67" s="2" t="s">
        <v>117</v>
      </c>
      <c r="D67" s="2">
        <v>3</v>
      </c>
      <c r="E67" s="2">
        <v>3</v>
      </c>
      <c r="F67" s="2">
        <v>2</v>
      </c>
      <c r="G67" s="2">
        <v>4</v>
      </c>
      <c r="H67" s="2">
        <v>4</v>
      </c>
      <c r="I67" s="2">
        <v>4</v>
      </c>
      <c r="J67" s="2">
        <v>4</v>
      </c>
      <c r="K67" s="2">
        <v>4</v>
      </c>
      <c r="L67" s="2">
        <v>3</v>
      </c>
      <c r="M67" s="2">
        <v>3</v>
      </c>
      <c r="N67" s="2">
        <v>4</v>
      </c>
      <c r="O67" s="2">
        <v>4</v>
      </c>
      <c r="P67" s="2">
        <v>4</v>
      </c>
      <c r="Q67" s="2">
        <v>4</v>
      </c>
      <c r="R67" s="2">
        <v>4</v>
      </c>
      <c r="S67" s="2">
        <v>4</v>
      </c>
      <c r="T67" s="2">
        <v>3</v>
      </c>
      <c r="U67" s="2">
        <v>3</v>
      </c>
    </row>
    <row r="70" spans="1:21" x14ac:dyDescent="0.3">
      <c r="A70" s="20" t="s">
        <v>152</v>
      </c>
      <c r="B70" s="20"/>
      <c r="C70" s="20"/>
      <c r="D70" s="15">
        <f t="shared" ref="D70:U70" si="0">AVERAGE(D4:D67)</f>
        <v>3.671875</v>
      </c>
      <c r="E70" s="15">
        <f t="shared" si="0"/>
        <v>3.640625</v>
      </c>
      <c r="F70" s="15">
        <f t="shared" si="0"/>
        <v>3.625</v>
      </c>
      <c r="G70" s="15">
        <f t="shared" si="0"/>
        <v>3.65625</v>
      </c>
      <c r="H70" s="15">
        <f t="shared" si="0"/>
        <v>3.671875</v>
      </c>
      <c r="I70" s="15">
        <f t="shared" si="0"/>
        <v>3.671875</v>
      </c>
      <c r="J70" s="15">
        <f t="shared" si="0"/>
        <v>3.609375</v>
      </c>
      <c r="K70" s="15">
        <f t="shared" si="0"/>
        <v>3.65625</v>
      </c>
      <c r="L70" s="15">
        <f t="shared" si="0"/>
        <v>3.65625</v>
      </c>
      <c r="M70" s="15">
        <f t="shared" si="0"/>
        <v>3.65625</v>
      </c>
      <c r="N70" s="15">
        <f t="shared" si="0"/>
        <v>3.640625</v>
      </c>
      <c r="O70" s="15">
        <f t="shared" si="0"/>
        <v>3.625</v>
      </c>
      <c r="P70" s="15">
        <f t="shared" si="0"/>
        <v>3.65625</v>
      </c>
      <c r="Q70" s="15">
        <f t="shared" si="0"/>
        <v>3.671875</v>
      </c>
      <c r="R70" s="15">
        <f t="shared" si="0"/>
        <v>3.671875</v>
      </c>
      <c r="S70" s="15">
        <f t="shared" si="0"/>
        <v>3.625</v>
      </c>
      <c r="T70" s="15">
        <f t="shared" si="0"/>
        <v>3.65625</v>
      </c>
      <c r="U70" s="15">
        <f t="shared" si="0"/>
        <v>3.640625</v>
      </c>
    </row>
    <row r="71" spans="1:21" x14ac:dyDescent="0.3">
      <c r="A71" s="20" t="s">
        <v>153</v>
      </c>
      <c r="B71" s="20"/>
      <c r="C71" s="20"/>
      <c r="D71" s="16" t="str">
        <f t="shared" ref="D71:U71" si="1">IF(D70&gt;=3.26,"Strongly Agree",IF(D70&gt;=2.51,"Agree",IF(D70&gt;=1.76,"Disagree","Strongly Disagree")))</f>
        <v>Strongly Agree</v>
      </c>
      <c r="E71" s="16" t="str">
        <f t="shared" si="1"/>
        <v>Strongly Agree</v>
      </c>
      <c r="F71" s="16" t="str">
        <f t="shared" si="1"/>
        <v>Strongly Agree</v>
      </c>
      <c r="G71" s="16" t="str">
        <f t="shared" si="1"/>
        <v>Strongly Agree</v>
      </c>
      <c r="H71" s="16" t="str">
        <f t="shared" si="1"/>
        <v>Strongly Agree</v>
      </c>
      <c r="I71" s="16" t="str">
        <f t="shared" si="1"/>
        <v>Strongly Agree</v>
      </c>
      <c r="J71" s="16" t="str">
        <f t="shared" si="1"/>
        <v>Strongly Agree</v>
      </c>
      <c r="K71" s="16" t="str">
        <f t="shared" si="1"/>
        <v>Strongly Agree</v>
      </c>
      <c r="L71" s="16" t="str">
        <f t="shared" si="1"/>
        <v>Strongly Agree</v>
      </c>
      <c r="M71" s="16" t="str">
        <f t="shared" si="1"/>
        <v>Strongly Agree</v>
      </c>
      <c r="N71" s="16" t="str">
        <f t="shared" si="1"/>
        <v>Strongly Agree</v>
      </c>
      <c r="O71" s="16" t="str">
        <f t="shared" si="1"/>
        <v>Strongly Agree</v>
      </c>
      <c r="P71" s="16" t="str">
        <f t="shared" si="1"/>
        <v>Strongly Agree</v>
      </c>
      <c r="Q71" s="16" t="str">
        <f t="shared" si="1"/>
        <v>Strongly Agree</v>
      </c>
      <c r="R71" s="16" t="str">
        <f t="shared" si="1"/>
        <v>Strongly Agree</v>
      </c>
      <c r="S71" s="16" t="str">
        <f t="shared" si="1"/>
        <v>Strongly Agree</v>
      </c>
      <c r="T71" s="16" t="str">
        <f t="shared" si="1"/>
        <v>Strongly Agree</v>
      </c>
      <c r="U71" s="16" t="str">
        <f t="shared" si="1"/>
        <v>Strongly Agree</v>
      </c>
    </row>
  </sheetData>
  <mergeCells count="2">
    <mergeCell ref="A70:C70"/>
    <mergeCell ref="A71:C7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&amp; Tables</vt:lpstr>
      <vt:lpstr>Raw Data &amp; Calculations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2026-10-03T06:50:59Z</dcterms:created>
  <dcterms:modified xsi:type="dcterms:W3CDTF">2026-10-03T12:45:41Z</dcterms:modified>
  <cp:category/>
</cp:coreProperties>
</file>