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pstone Gantt Chart" state="visible" r:id="rId4"/>
    <sheet sheetId="2" name="Legend &amp; Milestone Guide" state="visible" r:id="rId5"/>
  </sheets>
  <calcPr calcId="171027"/>
</workbook>
</file>

<file path=xl/sharedStrings.xml><?xml version="1.0" encoding="utf-8"?>
<sst xmlns="http://schemas.openxmlformats.org/spreadsheetml/2006/main" count="254" uniqueCount="179">
  <si>
    <t>LIBRALINK: LIBRARY MANAGEMENT &amp; BORROWING SYSTEM</t>
  </si>
  <si>
    <t>Capstone Project Development Schedule (18 Weeks | Aug 2026 - Dec 2026)</t>
  </si>
  <si>
    <t>Task ID</t>
  </si>
  <si>
    <t>WBS &amp; Task Description</t>
  </si>
  <si>
    <t>Assigned Lead / Role</t>
  </si>
  <si>
    <t>Start Week</t>
  </si>
  <si>
    <t>End Week</t>
  </si>
  <si>
    <t>Duration (Wks)</t>
  </si>
  <si>
    <t>Progress (%)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</si>
  <si>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</si>
  <si>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</si>
  <si>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</si>
  <si>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</si>
  <si>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</si>
  <si>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</si>
  <si>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</si>
  <si>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</si>
  <si>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</si>
  <si>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</si>
  <si>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</si>
  <si>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</si>
  <si>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</si>
  <si>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</si>
  <si>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</si>
  <si>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</si>
  <si>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</si>
  <si>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</si>
  <si>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Aug 17 - Aug 21</t>
  </si>
  <si>
    <t>Aug 24 - Aug 28</t>
  </si>
  <si>
    <t>Aug 31 - Sep 04</t>
  </si>
  <si>
    <t>Sep 07 - Sep 11</t>
  </si>
  <si>
    <t>Sep 14 - Sep 18</t>
  </si>
  <si>
    <t>Sep 21 - Sep 25</t>
  </si>
  <si>
    <t>Sep 28 - Oct 02</t>
  </si>
  <si>
    <t>Oct 05 - Oct 09</t>
  </si>
  <si>
    <t>Oct 12 - Oct 16</t>
  </si>
  <si>
    <t>Oct 19 - Oct 23</t>
  </si>
  <si>
    <t>Oct 26 - Oct 30</t>
  </si>
  <si>
    <t>Nov 02 - Nov 06</t>
  </si>
  <si>
    <t>Nov 09 - Nov 13</t>
  </si>
  <si>
    <t>Nov 16 - Nov 20</t>
  </si>
  <si>
    <t>Nov 23 - Nov 27</t>
  </si>
  <si>
    <t>Nov 30 - Dec 04</t>
  </si>
  <si>
    <t>Dec 07 - Dec 11</t>
  </si>
  <si>
    <t>Dec 14 - Dec 18</t>
  </si>
  <si>
    <t>PHASE 1: PROJECT INITIATION &amp; REQUIREMENTS ANALYSIS</t>
  </si>
  <si>
    <t>1.1</t>
  </si>
  <si>
    <t>Project Topic Proposal &amp; Approval</t>
  </si>
  <si>
    <t>Project Manager / Lead</t>
  </si>
  <si>
    <t>✓</t>
  </si>
  <si>
    <t>1.2</t>
  </si>
  <si>
    <t>Stakeholder Interviews &amp; Library Needs Assessment</t>
  </si>
  <si>
    <t>System Analyst</t>
  </si>
  <si>
    <t>1.3</t>
  </si>
  <si>
    <t>Software Requirements Specification (SRS)</t>
  </si>
  <si>
    <t>Technical Writer / Lead</t>
  </si>
  <si>
    <t>1.4</t>
  </si>
  <si>
    <t>Feasibility Study &amp; Technology Stack Evaluation</t>
  </si>
  <si>
    <t>Full Stack Developer</t>
  </si>
  <si>
    <t>1.5</t>
  </si>
  <si>
    <t>Milestone 1: Project Plan &amp; Scope Baseline Sign-off</t>
  </si>
  <si>
    <t>All Members &amp; Adviser</t>
  </si>
  <si>
    <t>◆ MILESTONE</t>
  </si>
  <si>
    <t>PHASE 2: SYSTEM ARCHITECTURE &amp; UI/UX DESIGN</t>
  </si>
  <si>
    <t>2.1</t>
  </si>
  <si>
    <t>ERD, Schema &amp; MySQL Relational DB Modeling</t>
  </si>
  <si>
    <t>Database Engineer</t>
  </si>
  <si>
    <t>2.2</t>
  </si>
  <si>
    <t>REST API Contract &amp; Endpoint Specification</t>
  </si>
  <si>
    <t>Backend Developer</t>
  </si>
  <si>
    <t>2.3</t>
  </si>
  <si>
    <t>Figma UI/UX Mockups (Student &amp; Librarian Portals)</t>
  </si>
  <si>
    <t>UI/UX Designer</t>
  </si>
  <si>
    <t>2.4</t>
  </si>
  <si>
    <t>Navigation, Design System &amp; Tailwind Theme Setup</t>
  </si>
  <si>
    <t>Frontend Developer</t>
  </si>
  <si>
    <t>2.5</t>
  </si>
  <si>
    <t>Milestone 2: System Architecture &amp; Prototype Review</t>
  </si>
  <si>
    <t>Adviser &amp; Panel</t>
  </si>
  <si>
    <t>PHASE 3: CORE BACKEND &amp; DATABASE IMPLEMENTATION (Node.js/Express)</t>
  </si>
  <si>
    <t>3.1</t>
  </si>
  <si>
    <t>Node.js Express Project Scaffolding &amp; DB Pool Connection</t>
  </si>
  <si>
    <t>3.2</t>
  </si>
  <si>
    <t>JWT Authentication, Roles (Student/Librarian/Admin)</t>
  </si>
  <si>
    <t>3.3</t>
  </si>
  <si>
    <t>Book Catalog CRUD &amp; Search/Filter API Endpoints</t>
  </si>
  <si>
    <t>3.4</t>
  </si>
  <si>
    <t>Borrowing, Return, Reservation &amp; Due-Date Rules Engine</t>
  </si>
  <si>
    <t>90%</t>
  </si>
  <si>
    <t>3.5</t>
  </si>
  <si>
    <t>Announcement, Feedback &amp; Activity Log APIs</t>
  </si>
  <si>
    <t>PHASE 4: FRONTEND CLIENT &amp; PORTAL DEVELOPMENT (React + Vite)</t>
  </si>
  <si>
    <t>4.1</t>
  </si>
  <si>
    <t>Auth Views: Login, Register, College/Department Pickers</t>
  </si>
  <si>
    <t>4.2</t>
  </si>
  <si>
    <t>Student Portal: Home, Book Catalog, Wishlist &amp; Search</t>
  </si>
  <si>
    <t>95%</t>
  </si>
  <si>
    <t>4.3</t>
  </si>
  <si>
    <t>Student Borrowing Tracking: Active, History &amp; Overdues</t>
  </si>
  <si>
    <t>4.4</t>
  </si>
  <si>
    <t>Librarian Dashboard: Borrower Drawer &amp; Issue/Return Ops</t>
  </si>
  <si>
    <t>85%</t>
  </si>
  <si>
    <t>4.5</t>
  </si>
  <si>
    <t>Admin Panel: Analytics, User Roles &amp; System Settings</t>
  </si>
  <si>
    <t>75%</t>
  </si>
  <si>
    <t>PHASE 5: ADVANCED FEATURES &amp; HARDWARE INTEGRATION</t>
  </si>
  <si>
    <t>5.1</t>
  </si>
  <si>
    <t>QR Code Generation &amp; Scanner for Fast Checkout/Checkin</t>
  </si>
  <si>
    <t>70%</t>
  </si>
  <si>
    <t>5.2</t>
  </si>
  <si>
    <t>Real-time WebSockets Notifications (Due &amp; Alerts)</t>
  </si>
  <si>
    <t>60%</t>
  </si>
  <si>
    <t>5.3</t>
  </si>
  <si>
    <t>Interactive Library Floor Map (Leaflet / Location Guide)</t>
  </si>
  <si>
    <t>50%</t>
  </si>
  <si>
    <t>5.4</t>
  </si>
  <si>
    <t>Milestone 3: Complete Beta Release &amp; Demo Walkthrough</t>
  </si>
  <si>
    <t>Capstone Team</t>
  </si>
  <si>
    <t>PHASE 6: SYSTEM TESTING, QA &amp; USER ACCEPTANCE (UAT)</t>
  </si>
  <si>
    <t>6.1</t>
  </si>
  <si>
    <t>Unit &amp; Integration Testing (API Endpoints &amp; DB Queries)</t>
  </si>
  <si>
    <t>QA / Backend</t>
  </si>
  <si>
    <t>40%</t>
  </si>
  <si>
    <t>6.2</t>
  </si>
  <si>
    <t>User Acceptance Testing (UAT) with College Librarians</t>
  </si>
  <si>
    <t>QA / System Analyst</t>
  </si>
  <si>
    <t>20%</t>
  </si>
  <si>
    <t>6.3</t>
  </si>
  <si>
    <t>Bug Fixing, UI Polish, Performance &amp; Security Audit</t>
  </si>
  <si>
    <t>Full Stack Team</t>
  </si>
  <si>
    <t>30%</t>
  </si>
  <si>
    <t>PHASE 7: DOCUMENTATION, DEPLOYMENT &amp; CAPSTONE DEFENSE</t>
  </si>
  <si>
    <t>7.1</t>
  </si>
  <si>
    <t>Thesis Final Manuscript (Chapters 1 - 5 Completion)</t>
  </si>
  <si>
    <t>All Members</t>
  </si>
  <si>
    <t>7.2</t>
  </si>
  <si>
    <t>Server Deployment &amp; Database Migration (Production)</t>
  </si>
  <si>
    <t>DevOps / Lead</t>
  </si>
  <si>
    <t>10%</t>
  </si>
  <si>
    <t>7.3</t>
  </si>
  <si>
    <t>User Manual, Librarian Guides &amp; Video Demonstration</t>
  </si>
  <si>
    <t>Technical Writer</t>
  </si>
  <si>
    <t>0%</t>
  </si>
  <si>
    <t>7.4</t>
  </si>
  <si>
    <t>Final Capstone Oral Defense &amp; Product Handover</t>
  </si>
  <si>
    <t>Capstone Team &amp; Panel</t>
  </si>
  <si>
    <t>OVERALL PROJECT PROGRESS (Weighted Average):</t>
  </si>
  <si>
    <t>Item / Phase</t>
  </si>
  <si>
    <t>Theme Color</t>
  </si>
  <si>
    <t>Status / Meaning</t>
  </si>
  <si>
    <t>Target Weeks</t>
  </si>
  <si>
    <t>Phase 1: Project Initiation &amp; Requirements</t>
  </si>
  <si>
    <t>SAMPLE COLOR</t>
  </si>
  <si>
    <t>Planning, feasibility, SRS baseline</t>
  </si>
  <si>
    <t>Weeks 1 - 3</t>
  </si>
  <si>
    <t>Phase 2: Architecture &amp; UI/UX Design</t>
  </si>
  <si>
    <t>DB ERD, API specs, Figma mockups</t>
  </si>
  <si>
    <t>Weeks 3 - 6</t>
  </si>
  <si>
    <t>Phase 3: Backend &amp; Database Engine</t>
  </si>
  <si>
    <t>Express APIs, Auth, Borrowing Logic</t>
  </si>
  <si>
    <t>Weeks 6 - 11</t>
  </si>
  <si>
    <t>Phase 4: Frontend Client &amp; Dashboards</t>
  </si>
  <si>
    <t>Student catalog &amp; Librarian tools</t>
  </si>
  <si>
    <t>Weeks 7 - 13</t>
  </si>
  <si>
    <t>Phase 5: Advanced Features &amp; WebSockets</t>
  </si>
  <si>
    <t>QR scanner, notifications, map guidance</t>
  </si>
  <si>
    <t>Weeks 12 - 15</t>
  </si>
  <si>
    <t>Phase 6: QA, System Testing &amp; UAT</t>
  </si>
  <si>
    <t>Integration test, user trial, bug fixes</t>
  </si>
  <si>
    <t>Weeks 14 - 17</t>
  </si>
  <si>
    <t>Phase 7: Final Defense &amp; Deployment</t>
  </si>
  <si>
    <t>Manuscript, production deploy, defense</t>
  </si>
  <si>
    <t>Weeks 15 - 18</t>
  </si>
  <si>
    <t>Completed Task Bar (✓)</t>
  </si>
  <si>
    <t>Fully accomplished item (100%)</t>
  </si>
  <si>
    <t>N/A</t>
  </si>
  <si>
    <t>Capstone Milestone Marker (◆)</t>
  </si>
  <si>
    <t>Critical defense and evaluation milestone</t>
  </si>
  <si>
    <t>W3, W6, W14, W18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</si>
</sst>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17" x14ac:knownFonts="1">
    <font>
      <color theme="1"/>
      <family val="2"/>
      <scheme val="minor"/>
      <sz val="11"/>
      <name val="Calibri"/>
    </font>
    <font>
      <b/>
      <color rgb="FFFFFF"/>
      <sz val="16"/>
      <name val="Calibri"/>
    </font>
    <font>
      <i/>
      <color rgb="CBD5E1"/>
      <sz val="11"/>
      <name val="Calibri"/>
    </font>
    <font>
      <b/>
      <color rgb="FFFFFF"/>
      <sz val="10"/>
      <name val="Calibri"/>
    </font>
    <font>
      <color rgb="E2E8F0"/>
      <sz val="8"/>
      <name val="Calibri"/>
    </font>
    <font>
      <b/>
      <color rgb="FFFFFF"/>
      <sz val="10.5"/>
      <name val="Calibri"/>
    </font>
    <font>
      <sz val="9.5"/>
      <name val="Calibri"/>
    </font>
    <font>
      <color rgb="0F172A"/>
      <sz val="9.5"/>
      <name val="Calibri"/>
    </font>
    <font>
      <sz val="9"/>
      <name val="Calibri"/>
    </font>
    <font>
      <b/>
      <sz val="9.5"/>
      <name val="Calibri"/>
    </font>
    <font>
      <b/>
      <color rgb="15803D"/>
      <sz val="9.5"/>
      <name val="Calibri"/>
    </font>
    <font>
      <b/>
      <color rgb="FFFFFF"/>
      <sz val="8"/>
      <name val="Calibri"/>
    </font>
    <font>
      <b/>
      <color rgb="4338CA"/>
      <sz val="9.5"/>
      <name val="Calibri"/>
    </font>
    <font>
      <b/>
      <color rgb="2563EB"/>
      <sz val="9.5"/>
      <name val="Calibri"/>
    </font>
    <font>
      <b/>
      <color rgb="64748B"/>
      <sz val="9.5"/>
      <name val="Calibri"/>
    </font>
    <font>
      <b/>
      <color rgb="FFFFFF"/>
      <sz val="11"/>
      <name val="Calibri"/>
    </font>
    <font>
      <b/>
      <color rgb="FFFFFF"/>
      <sz val="9"/>
      <name val="Calibri"/>
    </font>
  </fonts>
  <fills count="16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334155"/>
      </patternFill>
    </fill>
    <fill>
      <patternFill patternType="solid">
        <fgColor rgb="1E293B"/>
      </patternFill>
    </fill>
    <fill>
      <patternFill patternType="solid">
        <fgColor rgb="2563EB"/>
      </patternFill>
    </fill>
    <fill>
      <patternFill patternType="solid">
        <fgColor rgb="FFFFFF"/>
      </patternFill>
    </fill>
    <fill>
      <patternFill patternType="solid">
        <fgColor rgb="15803D"/>
      </patternFill>
    </fill>
    <fill>
      <patternFill patternType="solid">
        <fgColor rgb="F1F5F9"/>
      </patternFill>
    </fill>
    <fill>
      <patternFill patternType="solid">
        <fgColor rgb="4338CA"/>
      </patternFill>
    </fill>
    <fill>
      <patternFill patternType="solid">
        <fgColor rgb="7C3AED"/>
      </patternFill>
    </fill>
    <fill>
      <patternFill patternType="solid">
        <fgColor rgb="D97706"/>
      </patternFill>
    </fill>
    <fill>
      <patternFill patternType="solid">
        <fgColor rgb="059669"/>
      </patternFill>
    </fill>
    <fill>
      <patternFill patternType="solid">
        <fgColor rgb="EA580C"/>
      </patternFill>
    </fill>
    <fill>
      <patternFill patternType="solid">
        <fgColor rgb="DC2626"/>
      </patternFill>
    </fill>
    <fill>
      <patternFill patternType="solid">
        <fgColor rgb="B91C1C"/>
      </patternFill>
    </fill>
  </fills>
  <borders count="4">
    <border>
      <left/>
      <right/>
      <top/>
      <bottom/>
      <diagonal/>
    </border>
    <border>
      <left style="thin">
        <color rgb="CBD5E1"/>
      </left>
      <right style="thin">
        <color rgb="CBD5E1"/>
      </right>
      <top style="medium">
        <color rgb="000000"/>
      </top>
      <bottom style="medium">
        <color rgb="000000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medium">
        <color rgb="00000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5" fillId="5" borderId="0" xfId="0" applyFont="1" applyFill="1" applyAlignment="1">
      <alignment vertical="center" indent="1"/>
    </xf>
    <xf numFmtId="0" fontId="6" fillId="6" borderId="3" xfId="0" applyFont="1" applyFill="1" applyBorder="1" applyAlignment="1">
      <alignment horizontal="center" vertical="center"/>
    </xf>
    <xf numFmtId="0" fontId="7" fillId="6" borderId="3" xfId="0" applyFont="1" applyFill="1" applyBorder="1" applyAlignment="1">
      <alignment vertical="center"/>
    </xf>
    <xf numFmtId="0" fontId="8" fillId="6" borderId="3" xfId="0" applyFont="1" applyFill="1" applyBorder="1" applyAlignment="1">
      <alignment vertical="center"/>
    </xf>
    <xf numFmtId="0" fontId="9" fillId="6" borderId="3" xfId="0" applyFont="1" applyFill="1" applyBorder="1" applyAlignment="1">
      <alignment horizontal="center" vertical="center"/>
    </xf>
    <xf numFmtId="9" fontId="10" fillId="6" borderId="3" xfId="0" applyNumberFormat="1" applyFont="1" applyFill="1" applyBorder="1" applyAlignment="1">
      <alignment horizontal="center" vertical="center"/>
    </xf>
    <xf numFmtId="0" fontId="11" fillId="7" borderId="3" xfId="0" applyFont="1" applyFill="1" applyBorder="1" applyAlignment="1">
      <alignment horizontal="center" vertical="center"/>
    </xf>
    <xf numFmtId="0" fontId="0" fillId="6" borderId="3" xfId="0" applyFill="1" applyBorder="1"/>
    <xf numFmtId="0" fontId="6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vertical="center"/>
    </xf>
    <xf numFmtId="0" fontId="8" fillId="8" borderId="3" xfId="0" applyFont="1" applyFill="1" applyBorder="1" applyAlignment="1">
      <alignment vertical="center"/>
    </xf>
    <xf numFmtId="0" fontId="9" fillId="8" borderId="3" xfId="0" applyFont="1" applyFill="1" applyBorder="1" applyAlignment="1">
      <alignment horizontal="center" vertical="center"/>
    </xf>
    <xf numFmtId="9" fontId="10" fillId="8" borderId="3" xfId="0" applyNumberFormat="1" applyFont="1" applyFill="1" applyBorder="1" applyAlignment="1">
      <alignment horizontal="center" vertical="center"/>
    </xf>
    <xf numFmtId="0" fontId="0" fillId="8" borderId="3" xfId="0" applyFill="1" applyBorder="1"/>
    <xf numFmtId="0" fontId="12" fillId="6" borderId="3" xfId="0" applyFont="1" applyFill="1" applyBorder="1" applyAlignment="1">
      <alignment vertical="center"/>
    </xf>
    <xf numFmtId="0" fontId="11" fillId="9" borderId="3" xfId="0" applyFont="1" applyFill="1" applyBorder="1" applyAlignment="1">
      <alignment horizontal="center" vertical="center"/>
    </xf>
    <xf numFmtId="0" fontId="5" fillId="10" borderId="0" xfId="0" applyFont="1" applyFill="1" applyAlignment="1">
      <alignment vertical="center" indent="1"/>
    </xf>
    <xf numFmtId="0" fontId="5" fillId="11" borderId="0" xfId="0" applyFont="1" applyFill="1" applyAlignment="1">
      <alignment vertical="center" indent="1"/>
    </xf>
    <xf numFmtId="9" fontId="13" fillId="8" borderId="3" xfId="0" applyNumberFormat="1" applyFont="1" applyFill="1" applyBorder="1" applyAlignment="1">
      <alignment horizontal="center" vertical="center"/>
    </xf>
    <xf numFmtId="0" fontId="11" fillId="11" borderId="3" xfId="0" applyFont="1" applyFill="1" applyBorder="1" applyAlignment="1">
      <alignment horizontal="center" vertical="center"/>
    </xf>
    <xf numFmtId="9" fontId="13" fillId="6" borderId="3" xfId="0" applyNumberFormat="1" applyFont="1" applyFill="1" applyBorder="1" applyAlignment="1">
      <alignment horizontal="center" vertical="center"/>
    </xf>
    <xf numFmtId="0" fontId="5" fillId="12" borderId="0" xfId="0" applyFont="1" applyFill="1" applyAlignment="1">
      <alignment vertical="center" indent="1"/>
    </xf>
    <xf numFmtId="0" fontId="11" fillId="12" borderId="3" xfId="0" applyFont="1" applyFill="1" applyBorder="1" applyAlignment="1">
      <alignment horizontal="center" vertical="center"/>
    </xf>
    <xf numFmtId="0" fontId="5" fillId="13" borderId="0" xfId="0" applyFont="1" applyFill="1" applyAlignment="1">
      <alignment vertical="center" indent="1"/>
    </xf>
    <xf numFmtId="0" fontId="11" fillId="13" borderId="3" xfId="0" applyFont="1" applyFill="1" applyBorder="1" applyAlignment="1">
      <alignment horizontal="center" vertical="center"/>
    </xf>
    <xf numFmtId="0" fontId="12" fillId="8" borderId="3" xfId="0" applyFont="1" applyFill="1" applyBorder="1" applyAlignment="1">
      <alignment vertical="center"/>
    </xf>
    <xf numFmtId="0" fontId="5" fillId="14" borderId="0" xfId="0" applyFont="1" applyFill="1" applyAlignment="1">
      <alignment vertical="center" indent="1"/>
    </xf>
    <xf numFmtId="0" fontId="11" fillId="14" borderId="3" xfId="0" applyFont="1" applyFill="1" applyBorder="1" applyAlignment="1">
      <alignment horizontal="center" vertical="center"/>
    </xf>
    <xf numFmtId="0" fontId="5" fillId="9" borderId="0" xfId="0" applyFont="1" applyFill="1" applyAlignment="1">
      <alignment vertical="center" indent="1"/>
    </xf>
    <xf numFmtId="9" fontId="14" fillId="8" borderId="3" xfId="0" applyNumberFormat="1" applyFont="1" applyFill="1" applyBorder="1" applyAlignment="1">
      <alignment horizontal="center" vertical="center"/>
    </xf>
    <xf numFmtId="9" fontId="14" fillId="6" borderId="3" xfId="0" applyNumberFormat="1" applyFont="1" applyFill="1" applyBorder="1" applyAlignment="1">
      <alignment horizontal="center" vertical="center"/>
    </xf>
    <xf numFmtId="0" fontId="11" fillId="15" borderId="3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right" vertical="center"/>
    </xf>
    <xf numFmtId="0" fontId="0" fillId="4" borderId="0" xfId="0" applyFill="1"/>
    <xf numFmtId="164" fontId="15" fillId="7" borderId="0" xfId="0" applyNumberFormat="1" applyFont="1" applyFill="1" applyAlignment="1">
      <alignment horizontal="center" vertical="center"/>
    </xf>
    <xf numFmtId="0" fontId="15" fillId="4" borderId="0" xfId="0" applyFont="1" applyFill="1"/>
    <xf numFmtId="0" fontId="16" fillId="5" borderId="0" xfId="0" applyFont="1" applyFill="1" applyAlignment="1">
      <alignment horizontal="center" vertical="center"/>
    </xf>
    <xf numFmtId="0" fontId="16" fillId="10" borderId="0" xfId="0" applyFont="1" applyFill="1" applyAlignment="1">
      <alignment horizontal="center" vertical="center"/>
    </xf>
    <xf numFmtId="0" fontId="16" fillId="11" borderId="0" xfId="0" applyFont="1" applyFill="1" applyAlignment="1">
      <alignment horizontal="center" vertical="center"/>
    </xf>
    <xf numFmtId="0" fontId="16" fillId="12" borderId="0" xfId="0" applyFont="1" applyFill="1" applyAlignment="1">
      <alignment horizontal="center" vertical="center"/>
    </xf>
    <xf numFmtId="0" fontId="16" fillId="13" borderId="0" xfId="0" applyFont="1" applyFill="1" applyAlignment="1">
      <alignment horizontal="center" vertical="center"/>
    </xf>
    <xf numFmtId="0" fontId="16" fillId="14" borderId="0" xfId="0" applyFont="1" applyFill="1" applyAlignment="1">
      <alignment horizontal="center" vertical="center"/>
    </xf>
    <xf numFmtId="0" fontId="16" fillId="9" borderId="0" xfId="0" applyFont="1" applyFill="1" applyAlignment="1">
      <alignment horizontal="center" vertical="center"/>
    </xf>
    <xf numFmtId="0" fontId="16" fillId="7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5"/>
  <sheetViews>
    <sheetView workbookViewId="0">
      <pane xSplit="7" ySplit="5" topLeftCell="H6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2" width="38" customWidth="1"/>
    <col min="3" max="3" width="22" customWidth="1"/>
    <col min="4" max="5" width="12" customWidth="1"/>
    <col min="6" max="7" width="14" customWidth="1"/>
    <col min="8" max="25" width="9.5" customWidth="1"/>
  </cols>
  <sheetData>
    <row r="1" ht="34" customHeight="1" spans="1:2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ht="20" customHeight="1" spans="1:2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ht="10" customHeight="1" x14ac:dyDescent="0.25"/>
    <row r="4" ht="24" customHeight="1" spans="1:25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4" t="s">
        <v>26</v>
      </c>
    </row>
    <row r="5" ht="28" customHeight="1" spans="1:25" x14ac:dyDescent="0.25">
      <c r="A5" s="3"/>
      <c r="B5" s="3"/>
      <c r="C5" s="3"/>
      <c r="D5" s="3"/>
      <c r="E5" s="3"/>
      <c r="F5" s="3"/>
      <c r="G5" s="3"/>
      <c r="H5" s="5" t="s">
        <v>27</v>
      </c>
      <c r="I5" s="5" t="s">
        <v>28</v>
      </c>
      <c r="J5" s="5" t="s">
        <v>29</v>
      </c>
      <c r="K5" s="5" t="s">
        <v>30</v>
      </c>
      <c r="L5" s="5" t="s">
        <v>31</v>
      </c>
      <c r="M5" s="5" t="s">
        <v>32</v>
      </c>
      <c r="N5" s="5" t="s">
        <v>33</v>
      </c>
      <c r="O5" s="5" t="s">
        <v>34</v>
      </c>
      <c r="P5" s="5" t="s">
        <v>35</v>
      </c>
      <c r="Q5" s="5" t="s">
        <v>36</v>
      </c>
      <c r="R5" s="5" t="s">
        <v>37</v>
      </c>
      <c r="S5" s="5" t="s">
        <v>38</v>
      </c>
      <c r="T5" s="5" t="s">
        <v>39</v>
      </c>
      <c r="U5" s="5" t="s">
        <v>40</v>
      </c>
      <c r="V5" s="5" t="s">
        <v>41</v>
      </c>
      <c r="W5" s="5" t="s">
        <v>42</v>
      </c>
      <c r="X5" s="5" t="s">
        <v>43</v>
      </c>
      <c r="Y5" s="5" t="s">
        <v>44</v>
      </c>
    </row>
    <row r="6" ht="22" customHeight="1" spans="1:25" x14ac:dyDescent="0.25">
      <c r="A6" s="6" t="s">
        <v>45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</row>
    <row r="7" ht="20" customHeight="1" spans="1:25" x14ac:dyDescent="0.25">
      <c r="A7" s="7" t="s">
        <v>46</v>
      </c>
      <c r="B7" s="8" t="s">
        <v>47</v>
      </c>
      <c r="C7" s="9" t="s">
        <v>48</v>
      </c>
      <c r="D7" s="7">
        <v>1</v>
      </c>
      <c r="E7" s="7">
        <v>2</v>
      </c>
      <c r="F7" s="10">
        <f>E7-D7+1</f>
      </c>
      <c r="G7" s="11">
        <v>1</v>
      </c>
      <c r="H7" s="12" t="s">
        <v>49</v>
      </c>
      <c r="I7" s="12" t="s">
        <v>49</v>
      </c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</row>
    <row r="8" ht="20" customHeight="1" spans="1:25" x14ac:dyDescent="0.25">
      <c r="A8" s="14" t="s">
        <v>50</v>
      </c>
      <c r="B8" s="15" t="s">
        <v>51</v>
      </c>
      <c r="C8" s="16" t="s">
        <v>52</v>
      </c>
      <c r="D8" s="14">
        <v>1</v>
      </c>
      <c r="E8" s="14">
        <v>2</v>
      </c>
      <c r="F8" s="17">
        <f>E8-D8+1</f>
      </c>
      <c r="G8" s="18">
        <v>1</v>
      </c>
      <c r="H8" s="12" t="s">
        <v>49</v>
      </c>
      <c r="I8" s="12" t="s">
        <v>49</v>
      </c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</row>
    <row r="9" ht="20" customHeight="1" spans="1:25" x14ac:dyDescent="0.25">
      <c r="A9" s="7" t="s">
        <v>53</v>
      </c>
      <c r="B9" s="8" t="s">
        <v>54</v>
      </c>
      <c r="C9" s="9" t="s">
        <v>55</v>
      </c>
      <c r="D9" s="7">
        <v>2</v>
      </c>
      <c r="E9" s="7">
        <v>3</v>
      </c>
      <c r="F9" s="10">
        <f>E9-D9+1</f>
      </c>
      <c r="G9" s="11">
        <v>1</v>
      </c>
      <c r="H9" s="13"/>
      <c r="I9" s="12" t="s">
        <v>49</v>
      </c>
      <c r="J9" s="12" t="s">
        <v>49</v>
      </c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</row>
    <row r="10" ht="20" customHeight="1" spans="1:25" x14ac:dyDescent="0.25">
      <c r="A10" s="14" t="s">
        <v>56</v>
      </c>
      <c r="B10" s="15" t="s">
        <v>57</v>
      </c>
      <c r="C10" s="16" t="s">
        <v>58</v>
      </c>
      <c r="D10" s="14">
        <v>2</v>
      </c>
      <c r="E10" s="14">
        <v>3</v>
      </c>
      <c r="F10" s="17">
        <f>E10-D10+1</f>
      </c>
      <c r="G10" s="18">
        <v>1</v>
      </c>
      <c r="H10" s="19"/>
      <c r="I10" s="12" t="s">
        <v>49</v>
      </c>
      <c r="J10" s="12" t="s">
        <v>49</v>
      </c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</row>
    <row r="11" ht="20" customHeight="1" spans="1:25" x14ac:dyDescent="0.25">
      <c r="A11" s="10" t="s">
        <v>59</v>
      </c>
      <c r="B11" s="20" t="s">
        <v>60</v>
      </c>
      <c r="C11" s="9" t="s">
        <v>61</v>
      </c>
      <c r="D11" s="7">
        <v>3</v>
      </c>
      <c r="E11" s="7">
        <v>3</v>
      </c>
      <c r="F11" s="10">
        <f>E11-D11+1</f>
      </c>
      <c r="G11" s="11">
        <v>1</v>
      </c>
      <c r="H11" s="13"/>
      <c r="I11" s="13"/>
      <c r="J11" s="21" t="s">
        <v>62</v>
      </c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</row>
    <row r="12" ht="22" customHeight="1" spans="1:25" x14ac:dyDescent="0.25">
      <c r="A12" s="22" t="s">
        <v>63</v>
      </c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</row>
    <row r="13" ht="20" customHeight="1" spans="1:25" x14ac:dyDescent="0.25">
      <c r="A13" s="7" t="s">
        <v>64</v>
      </c>
      <c r="B13" s="8" t="s">
        <v>65</v>
      </c>
      <c r="C13" s="9" t="s">
        <v>66</v>
      </c>
      <c r="D13" s="7">
        <v>3</v>
      </c>
      <c r="E13" s="7">
        <v>5</v>
      </c>
      <c r="F13" s="10">
        <f>E13-D13+1</f>
      </c>
      <c r="G13" s="11">
        <v>1</v>
      </c>
      <c r="H13" s="13"/>
      <c r="I13" s="13"/>
      <c r="J13" s="12" t="s">
        <v>49</v>
      </c>
      <c r="K13" s="12" t="s">
        <v>49</v>
      </c>
      <c r="L13" s="12" t="s">
        <v>49</v>
      </c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</row>
    <row r="14" ht="20" customHeight="1" spans="1:25" x14ac:dyDescent="0.25">
      <c r="A14" s="14" t="s">
        <v>67</v>
      </c>
      <c r="B14" s="15" t="s">
        <v>68</v>
      </c>
      <c r="C14" s="16" t="s">
        <v>69</v>
      </c>
      <c r="D14" s="14">
        <v>4</v>
      </c>
      <c r="E14" s="14">
        <v>5</v>
      </c>
      <c r="F14" s="17">
        <f>E14-D14+1</f>
      </c>
      <c r="G14" s="18">
        <v>1</v>
      </c>
      <c r="H14" s="19"/>
      <c r="I14" s="19"/>
      <c r="J14" s="19"/>
      <c r="K14" s="12" t="s">
        <v>49</v>
      </c>
      <c r="L14" s="12" t="s">
        <v>49</v>
      </c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</row>
    <row r="15" ht="20" customHeight="1" spans="1:25" x14ac:dyDescent="0.25">
      <c r="A15" s="7" t="s">
        <v>70</v>
      </c>
      <c r="B15" s="8" t="s">
        <v>71</v>
      </c>
      <c r="C15" s="9" t="s">
        <v>72</v>
      </c>
      <c r="D15" s="7">
        <v>4</v>
      </c>
      <c r="E15" s="7">
        <v>6</v>
      </c>
      <c r="F15" s="10">
        <f>E15-D15+1</f>
      </c>
      <c r="G15" s="11">
        <v>1</v>
      </c>
      <c r="H15" s="13"/>
      <c r="I15" s="13"/>
      <c r="J15" s="13"/>
      <c r="K15" s="12" t="s">
        <v>49</v>
      </c>
      <c r="L15" s="12" t="s">
        <v>49</v>
      </c>
      <c r="M15" s="12" t="s">
        <v>49</v>
      </c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</row>
    <row r="16" ht="20" customHeight="1" spans="1:25" x14ac:dyDescent="0.25">
      <c r="A16" s="14" t="s">
        <v>73</v>
      </c>
      <c r="B16" s="15" t="s">
        <v>74</v>
      </c>
      <c r="C16" s="16" t="s">
        <v>75</v>
      </c>
      <c r="D16" s="14">
        <v>5</v>
      </c>
      <c r="E16" s="14">
        <v>6</v>
      </c>
      <c r="F16" s="17">
        <f>E16-D16+1</f>
      </c>
      <c r="G16" s="18">
        <v>1</v>
      </c>
      <c r="H16" s="19"/>
      <c r="I16" s="19"/>
      <c r="J16" s="19"/>
      <c r="K16" s="19"/>
      <c r="L16" s="12" t="s">
        <v>49</v>
      </c>
      <c r="M16" s="12" t="s">
        <v>49</v>
      </c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</row>
    <row r="17" ht="20" customHeight="1" spans="1:25" x14ac:dyDescent="0.25">
      <c r="A17" s="10" t="s">
        <v>76</v>
      </c>
      <c r="B17" s="20" t="s">
        <v>77</v>
      </c>
      <c r="C17" s="9" t="s">
        <v>78</v>
      </c>
      <c r="D17" s="7">
        <v>6</v>
      </c>
      <c r="E17" s="7">
        <v>6</v>
      </c>
      <c r="F17" s="10">
        <f>E17-D17+1</f>
      </c>
      <c r="G17" s="11">
        <v>1</v>
      </c>
      <c r="H17" s="13"/>
      <c r="I17" s="13"/>
      <c r="J17" s="13"/>
      <c r="K17" s="13"/>
      <c r="L17" s="13"/>
      <c r="M17" s="21" t="s">
        <v>62</v>
      </c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</row>
    <row r="18" ht="22" customHeight="1" spans="1:25" x14ac:dyDescent="0.25">
      <c r="A18" s="23" t="s">
        <v>79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</row>
    <row r="19" ht="20" customHeight="1" spans="1:25" x14ac:dyDescent="0.25">
      <c r="A19" s="7" t="s">
        <v>80</v>
      </c>
      <c r="B19" s="8" t="s">
        <v>81</v>
      </c>
      <c r="C19" s="9" t="s">
        <v>69</v>
      </c>
      <c r="D19" s="7">
        <v>6</v>
      </c>
      <c r="E19" s="7">
        <v>7</v>
      </c>
      <c r="F19" s="10">
        <f>E19-D19+1</f>
      </c>
      <c r="G19" s="11">
        <v>1</v>
      </c>
      <c r="H19" s="13"/>
      <c r="I19" s="13"/>
      <c r="J19" s="13"/>
      <c r="K19" s="13"/>
      <c r="L19" s="13"/>
      <c r="M19" s="12" t="s">
        <v>49</v>
      </c>
      <c r="N19" s="12" t="s">
        <v>49</v>
      </c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</row>
    <row r="20" ht="20" customHeight="1" spans="1:25" x14ac:dyDescent="0.25">
      <c r="A20" s="14" t="s">
        <v>82</v>
      </c>
      <c r="B20" s="15" t="s">
        <v>83</v>
      </c>
      <c r="C20" s="16" t="s">
        <v>69</v>
      </c>
      <c r="D20" s="14">
        <v>7</v>
      </c>
      <c r="E20" s="14">
        <v>8</v>
      </c>
      <c r="F20" s="17">
        <f>E20-D20+1</f>
      </c>
      <c r="G20" s="18">
        <v>1</v>
      </c>
      <c r="H20" s="19"/>
      <c r="I20" s="19"/>
      <c r="J20" s="19"/>
      <c r="K20" s="19"/>
      <c r="L20" s="19"/>
      <c r="M20" s="19"/>
      <c r="N20" s="12" t="s">
        <v>49</v>
      </c>
      <c r="O20" s="12" t="s">
        <v>49</v>
      </c>
      <c r="P20" s="19"/>
      <c r="Q20" s="19"/>
      <c r="R20" s="19"/>
      <c r="S20" s="19"/>
      <c r="T20" s="19"/>
      <c r="U20" s="19"/>
      <c r="V20" s="19"/>
      <c r="W20" s="19"/>
      <c r="X20" s="19"/>
      <c r="Y20" s="19"/>
    </row>
    <row r="21" ht="20" customHeight="1" spans="1:25" x14ac:dyDescent="0.25">
      <c r="A21" s="7" t="s">
        <v>84</v>
      </c>
      <c r="B21" s="8" t="s">
        <v>85</v>
      </c>
      <c r="C21" s="9" t="s">
        <v>69</v>
      </c>
      <c r="D21" s="7">
        <v>8</v>
      </c>
      <c r="E21" s="7">
        <v>9</v>
      </c>
      <c r="F21" s="10">
        <f>E21-D21+1</f>
      </c>
      <c r="G21" s="11">
        <v>1</v>
      </c>
      <c r="H21" s="13"/>
      <c r="I21" s="13"/>
      <c r="J21" s="13"/>
      <c r="K21" s="13"/>
      <c r="L21" s="13"/>
      <c r="M21" s="13"/>
      <c r="N21" s="13"/>
      <c r="O21" s="12" t="s">
        <v>49</v>
      </c>
      <c r="P21" s="12" t="s">
        <v>49</v>
      </c>
      <c r="Q21" s="13"/>
      <c r="R21" s="13"/>
      <c r="S21" s="13"/>
      <c r="T21" s="13"/>
      <c r="U21" s="13"/>
      <c r="V21" s="13"/>
      <c r="W21" s="13"/>
      <c r="X21" s="13"/>
      <c r="Y21" s="13"/>
    </row>
    <row r="22" ht="20" customHeight="1" spans="1:25" x14ac:dyDescent="0.25">
      <c r="A22" s="14" t="s">
        <v>86</v>
      </c>
      <c r="B22" s="15" t="s">
        <v>87</v>
      </c>
      <c r="C22" s="16" t="s">
        <v>69</v>
      </c>
      <c r="D22" s="14">
        <v>9</v>
      </c>
      <c r="E22" s="14">
        <v>11</v>
      </c>
      <c r="F22" s="17">
        <f>E22-D22+1</f>
      </c>
      <c r="G22" s="24">
        <v>0.9</v>
      </c>
      <c r="H22" s="19"/>
      <c r="I22" s="19"/>
      <c r="J22" s="19"/>
      <c r="K22" s="19"/>
      <c r="L22" s="19"/>
      <c r="M22" s="19"/>
      <c r="N22" s="19"/>
      <c r="O22" s="19"/>
      <c r="P22" s="25" t="s">
        <v>88</v>
      </c>
      <c r="Q22" s="25" t="s">
        <v>88</v>
      </c>
      <c r="R22" s="25" t="s">
        <v>88</v>
      </c>
      <c r="S22" s="19"/>
      <c r="T22" s="19"/>
      <c r="U22" s="19"/>
      <c r="V22" s="19"/>
      <c r="W22" s="19"/>
      <c r="X22" s="19"/>
      <c r="Y22" s="19"/>
    </row>
    <row r="23" ht="20" customHeight="1" spans="1:25" x14ac:dyDescent="0.25">
      <c r="A23" s="7" t="s">
        <v>89</v>
      </c>
      <c r="B23" s="8" t="s">
        <v>90</v>
      </c>
      <c r="C23" s="9" t="s">
        <v>69</v>
      </c>
      <c r="D23" s="7">
        <v>10</v>
      </c>
      <c r="E23" s="7">
        <v>11</v>
      </c>
      <c r="F23" s="10">
        <f>E23-D23+1</f>
      </c>
      <c r="G23" s="26">
        <v>0.9</v>
      </c>
      <c r="H23" s="13"/>
      <c r="I23" s="13"/>
      <c r="J23" s="13"/>
      <c r="K23" s="13"/>
      <c r="L23" s="13"/>
      <c r="M23" s="13"/>
      <c r="N23" s="13"/>
      <c r="O23" s="13"/>
      <c r="P23" s="13"/>
      <c r="Q23" s="25" t="s">
        <v>88</v>
      </c>
      <c r="R23" s="25" t="s">
        <v>88</v>
      </c>
      <c r="S23" s="13"/>
      <c r="T23" s="13"/>
      <c r="U23" s="13"/>
      <c r="V23" s="13"/>
      <c r="W23" s="13"/>
      <c r="X23" s="13"/>
      <c r="Y23" s="13"/>
    </row>
    <row r="24" ht="22" customHeight="1" spans="1:25" x14ac:dyDescent="0.25">
      <c r="A24" s="27" t="s">
        <v>91</v>
      </c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</row>
    <row r="25" ht="20" customHeight="1" spans="1:25" x14ac:dyDescent="0.25">
      <c r="A25" s="7" t="s">
        <v>92</v>
      </c>
      <c r="B25" s="8" t="s">
        <v>93</v>
      </c>
      <c r="C25" s="9" t="s">
        <v>75</v>
      </c>
      <c r="D25" s="7">
        <v>7</v>
      </c>
      <c r="E25" s="7">
        <v>8</v>
      </c>
      <c r="F25" s="10">
        <f>E25-D25+1</f>
      </c>
      <c r="G25" s="11">
        <v>1</v>
      </c>
      <c r="H25" s="13"/>
      <c r="I25" s="13"/>
      <c r="J25" s="13"/>
      <c r="K25" s="13"/>
      <c r="L25" s="13"/>
      <c r="M25" s="13"/>
      <c r="N25" s="12" t="s">
        <v>49</v>
      </c>
      <c r="O25" s="12" t="s">
        <v>49</v>
      </c>
      <c r="P25" s="13"/>
      <c r="Q25" s="13"/>
      <c r="R25" s="13"/>
      <c r="S25" s="13"/>
      <c r="T25" s="13"/>
      <c r="U25" s="13"/>
      <c r="V25" s="13"/>
      <c r="W25" s="13"/>
      <c r="X25" s="13"/>
      <c r="Y25" s="13"/>
    </row>
    <row r="26" ht="20" customHeight="1" spans="1:25" x14ac:dyDescent="0.25">
      <c r="A26" s="14" t="s">
        <v>94</v>
      </c>
      <c r="B26" s="15" t="s">
        <v>95</v>
      </c>
      <c r="C26" s="16" t="s">
        <v>75</v>
      </c>
      <c r="D26" s="14">
        <v>8</v>
      </c>
      <c r="E26" s="14">
        <v>10</v>
      </c>
      <c r="F26" s="17">
        <f>E26-D26+1</f>
      </c>
      <c r="G26" s="24">
        <v>0.95</v>
      </c>
      <c r="H26" s="19"/>
      <c r="I26" s="19"/>
      <c r="J26" s="19"/>
      <c r="K26" s="19"/>
      <c r="L26" s="19"/>
      <c r="M26" s="19"/>
      <c r="N26" s="19"/>
      <c r="O26" s="28" t="s">
        <v>96</v>
      </c>
      <c r="P26" s="28" t="s">
        <v>96</v>
      </c>
      <c r="Q26" s="28" t="s">
        <v>96</v>
      </c>
      <c r="R26" s="19"/>
      <c r="S26" s="19"/>
      <c r="T26" s="19"/>
      <c r="U26" s="19"/>
      <c r="V26" s="19"/>
      <c r="W26" s="19"/>
      <c r="X26" s="19"/>
      <c r="Y26" s="19"/>
    </row>
    <row r="27" ht="20" customHeight="1" spans="1:25" x14ac:dyDescent="0.25">
      <c r="A27" s="7" t="s">
        <v>97</v>
      </c>
      <c r="B27" s="8" t="s">
        <v>98</v>
      </c>
      <c r="C27" s="9" t="s">
        <v>75</v>
      </c>
      <c r="D27" s="7">
        <v>10</v>
      </c>
      <c r="E27" s="7">
        <v>11</v>
      </c>
      <c r="F27" s="10">
        <f>E27-D27+1</f>
      </c>
      <c r="G27" s="26">
        <v>0.9</v>
      </c>
      <c r="H27" s="13"/>
      <c r="I27" s="13"/>
      <c r="J27" s="13"/>
      <c r="K27" s="13"/>
      <c r="L27" s="13"/>
      <c r="M27" s="13"/>
      <c r="N27" s="13"/>
      <c r="O27" s="13"/>
      <c r="P27" s="13"/>
      <c r="Q27" s="28" t="s">
        <v>88</v>
      </c>
      <c r="R27" s="28" t="s">
        <v>88</v>
      </c>
      <c r="S27" s="13"/>
      <c r="T27" s="13"/>
      <c r="U27" s="13"/>
      <c r="V27" s="13"/>
      <c r="W27" s="13"/>
      <c r="X27" s="13"/>
      <c r="Y27" s="13"/>
    </row>
    <row r="28" ht="20" customHeight="1" spans="1:25" x14ac:dyDescent="0.25">
      <c r="A28" s="14" t="s">
        <v>99</v>
      </c>
      <c r="B28" s="15" t="s">
        <v>100</v>
      </c>
      <c r="C28" s="16" t="s">
        <v>58</v>
      </c>
      <c r="D28" s="14">
        <v>10</v>
      </c>
      <c r="E28" s="14">
        <v>12</v>
      </c>
      <c r="F28" s="17">
        <f>E28-D28+1</f>
      </c>
      <c r="G28" s="24">
        <v>0.85</v>
      </c>
      <c r="H28" s="19"/>
      <c r="I28" s="19"/>
      <c r="J28" s="19"/>
      <c r="K28" s="19"/>
      <c r="L28" s="19"/>
      <c r="M28" s="19"/>
      <c r="N28" s="19"/>
      <c r="O28" s="19"/>
      <c r="P28" s="19"/>
      <c r="Q28" s="28" t="s">
        <v>101</v>
      </c>
      <c r="R28" s="28" t="s">
        <v>101</v>
      </c>
      <c r="S28" s="28" t="s">
        <v>101</v>
      </c>
      <c r="T28" s="19"/>
      <c r="U28" s="19"/>
      <c r="V28" s="19"/>
      <c r="W28" s="19"/>
      <c r="X28" s="19"/>
      <c r="Y28" s="19"/>
    </row>
    <row r="29" ht="20" customHeight="1" spans="1:25" x14ac:dyDescent="0.25">
      <c r="A29" s="7" t="s">
        <v>102</v>
      </c>
      <c r="B29" s="8" t="s">
        <v>103</v>
      </c>
      <c r="C29" s="9" t="s">
        <v>58</v>
      </c>
      <c r="D29" s="7">
        <v>11</v>
      </c>
      <c r="E29" s="7">
        <v>13</v>
      </c>
      <c r="F29" s="10">
        <f>E29-D29+1</f>
      </c>
      <c r="G29" s="26">
        <v>0.75</v>
      </c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28" t="s">
        <v>104</v>
      </c>
      <c r="S29" s="28" t="s">
        <v>104</v>
      </c>
      <c r="T29" s="28" t="s">
        <v>104</v>
      </c>
      <c r="U29" s="13"/>
      <c r="V29" s="13"/>
      <c r="W29" s="13"/>
      <c r="X29" s="13"/>
      <c r="Y29" s="13"/>
    </row>
    <row r="30" ht="22" customHeight="1" spans="1:25" x14ac:dyDescent="0.25">
      <c r="A30" s="29" t="s">
        <v>105</v>
      </c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</row>
    <row r="31" ht="20" customHeight="1" spans="1:25" x14ac:dyDescent="0.25">
      <c r="A31" s="7" t="s">
        <v>106</v>
      </c>
      <c r="B31" s="8" t="s">
        <v>107</v>
      </c>
      <c r="C31" s="9" t="s">
        <v>58</v>
      </c>
      <c r="D31" s="7">
        <v>12</v>
      </c>
      <c r="E31" s="7">
        <v>14</v>
      </c>
      <c r="F31" s="10">
        <f>E31-D31+1</f>
      </c>
      <c r="G31" s="26">
        <v>0.7</v>
      </c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30" t="s">
        <v>108</v>
      </c>
      <c r="T31" s="30" t="s">
        <v>108</v>
      </c>
      <c r="U31" s="30" t="s">
        <v>108</v>
      </c>
      <c r="V31" s="13"/>
      <c r="W31" s="13"/>
      <c r="X31" s="13"/>
      <c r="Y31" s="13"/>
    </row>
    <row r="32" ht="20" customHeight="1" spans="1:25" x14ac:dyDescent="0.25">
      <c r="A32" s="14" t="s">
        <v>109</v>
      </c>
      <c r="B32" s="15" t="s">
        <v>110</v>
      </c>
      <c r="C32" s="16" t="s">
        <v>69</v>
      </c>
      <c r="D32" s="14">
        <v>13</v>
      </c>
      <c r="E32" s="14">
        <v>14</v>
      </c>
      <c r="F32" s="17">
        <f>E32-D32+1</f>
      </c>
      <c r="G32" s="24">
        <v>0.6</v>
      </c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30" t="s">
        <v>111</v>
      </c>
      <c r="U32" s="30" t="s">
        <v>111</v>
      </c>
      <c r="V32" s="19"/>
      <c r="W32" s="19"/>
      <c r="X32" s="19"/>
      <c r="Y32" s="19"/>
    </row>
    <row r="33" ht="20" customHeight="1" spans="1:25" x14ac:dyDescent="0.25">
      <c r="A33" s="7" t="s">
        <v>112</v>
      </c>
      <c r="B33" s="8" t="s">
        <v>113</v>
      </c>
      <c r="C33" s="9" t="s">
        <v>75</v>
      </c>
      <c r="D33" s="7">
        <v>13</v>
      </c>
      <c r="E33" s="7">
        <v>15</v>
      </c>
      <c r="F33" s="10">
        <f>E33-D33+1</f>
      </c>
      <c r="G33" s="26">
        <v>0.5</v>
      </c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30" t="s">
        <v>114</v>
      </c>
      <c r="U33" s="30" t="s">
        <v>114</v>
      </c>
      <c r="V33" s="30" t="s">
        <v>114</v>
      </c>
      <c r="W33" s="13"/>
      <c r="X33" s="13"/>
      <c r="Y33" s="13"/>
    </row>
    <row r="34" ht="20" customHeight="1" spans="1:25" x14ac:dyDescent="0.25">
      <c r="A34" s="17" t="s">
        <v>115</v>
      </c>
      <c r="B34" s="31" t="s">
        <v>116</v>
      </c>
      <c r="C34" s="16" t="s">
        <v>117</v>
      </c>
      <c r="D34" s="14">
        <v>14</v>
      </c>
      <c r="E34" s="14">
        <v>14</v>
      </c>
      <c r="F34" s="17">
        <f>E34-D34+1</f>
      </c>
      <c r="G34" s="24">
        <v>0.7</v>
      </c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21" t="s">
        <v>62</v>
      </c>
      <c r="V34" s="19"/>
      <c r="W34" s="19"/>
      <c r="X34" s="19"/>
      <c r="Y34" s="19"/>
    </row>
    <row r="35" ht="22" customHeight="1" spans="1:25" x14ac:dyDescent="0.25">
      <c r="A35" s="32" t="s">
        <v>118</v>
      </c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</row>
    <row r="36" ht="20" customHeight="1" spans="1:25" x14ac:dyDescent="0.25">
      <c r="A36" s="14" t="s">
        <v>119</v>
      </c>
      <c r="B36" s="15" t="s">
        <v>120</v>
      </c>
      <c r="C36" s="16" t="s">
        <v>121</v>
      </c>
      <c r="D36" s="14">
        <v>14</v>
      </c>
      <c r="E36" s="14">
        <v>15</v>
      </c>
      <c r="F36" s="17">
        <f>E36-D36+1</f>
      </c>
      <c r="G36" s="24">
        <v>0.4</v>
      </c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33" t="s">
        <v>122</v>
      </c>
      <c r="V36" s="33" t="s">
        <v>122</v>
      </c>
      <c r="W36" s="19"/>
      <c r="X36" s="19"/>
      <c r="Y36" s="19"/>
    </row>
    <row r="37" ht="20" customHeight="1" spans="1:25" x14ac:dyDescent="0.25">
      <c r="A37" s="7" t="s">
        <v>123</v>
      </c>
      <c r="B37" s="8" t="s">
        <v>124</v>
      </c>
      <c r="C37" s="9" t="s">
        <v>125</v>
      </c>
      <c r="D37" s="7">
        <v>15</v>
      </c>
      <c r="E37" s="7">
        <v>16</v>
      </c>
      <c r="F37" s="10">
        <f>E37-D37+1</f>
      </c>
      <c r="G37" s="26">
        <v>0.2</v>
      </c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33" t="s">
        <v>126</v>
      </c>
      <c r="W37" s="33" t="s">
        <v>126</v>
      </c>
      <c r="X37" s="13"/>
      <c r="Y37" s="13"/>
    </row>
    <row r="38" ht="20" customHeight="1" spans="1:25" x14ac:dyDescent="0.25">
      <c r="A38" s="14" t="s">
        <v>127</v>
      </c>
      <c r="B38" s="15" t="s">
        <v>128</v>
      </c>
      <c r="C38" s="16" t="s">
        <v>129</v>
      </c>
      <c r="D38" s="14">
        <v>15</v>
      </c>
      <c r="E38" s="14">
        <v>17</v>
      </c>
      <c r="F38" s="17">
        <f>E38-D38+1</f>
      </c>
      <c r="G38" s="24">
        <v>0.3</v>
      </c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33" t="s">
        <v>130</v>
      </c>
      <c r="W38" s="33" t="s">
        <v>130</v>
      </c>
      <c r="X38" s="33" t="s">
        <v>130</v>
      </c>
      <c r="Y38" s="19"/>
    </row>
    <row r="39" ht="22" customHeight="1" spans="1:25" x14ac:dyDescent="0.25">
      <c r="A39" s="34" t="s">
        <v>131</v>
      </c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</row>
    <row r="40" ht="20" customHeight="1" spans="1:25" x14ac:dyDescent="0.25">
      <c r="A40" s="14" t="s">
        <v>132</v>
      </c>
      <c r="B40" s="15" t="s">
        <v>133</v>
      </c>
      <c r="C40" s="16" t="s">
        <v>134</v>
      </c>
      <c r="D40" s="14">
        <v>15</v>
      </c>
      <c r="E40" s="14">
        <v>17</v>
      </c>
      <c r="F40" s="17">
        <f>E40-D40+1</f>
      </c>
      <c r="G40" s="24">
        <v>0.4</v>
      </c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21" t="s">
        <v>122</v>
      </c>
      <c r="W40" s="21" t="s">
        <v>122</v>
      </c>
      <c r="X40" s="21" t="s">
        <v>122</v>
      </c>
      <c r="Y40" s="19"/>
    </row>
    <row r="41" ht="20" customHeight="1" spans="1:25" x14ac:dyDescent="0.25">
      <c r="A41" s="7" t="s">
        <v>135</v>
      </c>
      <c r="B41" s="8" t="s">
        <v>136</v>
      </c>
      <c r="C41" s="9" t="s">
        <v>137</v>
      </c>
      <c r="D41" s="7">
        <v>16</v>
      </c>
      <c r="E41" s="7">
        <v>17</v>
      </c>
      <c r="F41" s="10">
        <f>E41-D41+1</f>
      </c>
      <c r="G41" s="26">
        <v>0.1</v>
      </c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21" t="s">
        <v>138</v>
      </c>
      <c r="X41" s="21" t="s">
        <v>138</v>
      </c>
      <c r="Y41" s="13"/>
    </row>
    <row r="42" ht="20" customHeight="1" spans="1:25" x14ac:dyDescent="0.25">
      <c r="A42" s="14" t="s">
        <v>139</v>
      </c>
      <c r="B42" s="15" t="s">
        <v>140</v>
      </c>
      <c r="C42" s="16" t="s">
        <v>141</v>
      </c>
      <c r="D42" s="14">
        <v>17</v>
      </c>
      <c r="E42" s="14">
        <v>18</v>
      </c>
      <c r="F42" s="17">
        <f>E42-D42+1</f>
      </c>
      <c r="G42" s="35">
        <v>0</v>
      </c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21" t="s">
        <v>142</v>
      </c>
      <c r="Y42" s="21" t="s">
        <v>142</v>
      </c>
    </row>
    <row r="43" ht="20" customHeight="1" spans="1:25" x14ac:dyDescent="0.25">
      <c r="A43" s="10" t="s">
        <v>143</v>
      </c>
      <c r="B43" s="20" t="s">
        <v>144</v>
      </c>
      <c r="C43" s="9" t="s">
        <v>145</v>
      </c>
      <c r="D43" s="7">
        <v>18</v>
      </c>
      <c r="E43" s="7">
        <v>18</v>
      </c>
      <c r="F43" s="10">
        <f>E43-D43+1</f>
      </c>
      <c r="G43" s="36">
        <v>0</v>
      </c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37" t="s">
        <v>62</v>
      </c>
    </row>
    <row r="45" ht="24" customHeight="1" spans="1:25" x14ac:dyDescent="0.25">
      <c r="A45" s="38" t="s">
        <v>146</v>
      </c>
      <c r="B45" s="38"/>
      <c r="C45" s="38"/>
      <c r="D45" s="38"/>
      <c r="E45" s="38"/>
      <c r="F45" s="39"/>
      <c r="G45" s="40">
        <f>AVERAGE(G6:G43)</f>
      </c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</row>
  </sheetData>
  <mergeCells count="17">
    <mergeCell ref="A1:Y1"/>
    <mergeCell ref="A2:Y2"/>
    <mergeCell ref="A4:A5"/>
    <mergeCell ref="B4:B5"/>
    <mergeCell ref="C4:C5"/>
    <mergeCell ref="D4:D5"/>
    <mergeCell ref="E4:E5"/>
    <mergeCell ref="F4:F5"/>
    <mergeCell ref="G4:G5"/>
    <mergeCell ref="A6:Y6"/>
    <mergeCell ref="A12:Y12"/>
    <mergeCell ref="A18:Y18"/>
    <mergeCell ref="A24:Y24"/>
    <mergeCell ref="A30:Y30"/>
    <mergeCell ref="A35:Y35"/>
    <mergeCell ref="A39:Y39"/>
    <mergeCell ref="A45:E4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/>
  </sheetViews>
  <sheetFormatPr defaultRowHeight="15" outlineLevelRow="0" outlineLevelCol="0" x14ac:dyDescent="55"/>
  <cols>
    <col min="1" max="1" width="35" customWidth="1"/>
    <col min="2" max="2" width="18" customWidth="1"/>
    <col min="3" max="3" width="45" customWidth="1"/>
    <col min="4" max="4" width="18" customWidth="1"/>
  </cols>
  <sheetData>
    <row r="1" ht="24" customHeight="1" spans="1:4" s="41" customFormat="1" x14ac:dyDescent="0.25">
      <c r="A1" s="41" t="s">
        <v>147</v>
      </c>
      <c r="B1" s="41" t="s">
        <v>148</v>
      </c>
      <c r="C1" s="41" t="s">
        <v>149</v>
      </c>
      <c r="D1" s="41" t="s">
        <v>150</v>
      </c>
    </row>
    <row r="2" ht="22" customHeight="1" spans="1:4" x14ac:dyDescent="0.25">
      <c r="A2" t="s">
        <v>151</v>
      </c>
      <c r="B2" s="42" t="s">
        <v>152</v>
      </c>
      <c r="C2" t="s">
        <v>153</v>
      </c>
      <c r="D2" t="s">
        <v>154</v>
      </c>
    </row>
    <row r="3" ht="22" customHeight="1" spans="1:4" x14ac:dyDescent="0.25">
      <c r="A3" t="s">
        <v>155</v>
      </c>
      <c r="B3" s="43" t="s">
        <v>152</v>
      </c>
      <c r="C3" t="s">
        <v>156</v>
      </c>
      <c r="D3" t="s">
        <v>157</v>
      </c>
    </row>
    <row r="4" ht="22" customHeight="1" spans="1:4" x14ac:dyDescent="0.25">
      <c r="A4" t="s">
        <v>158</v>
      </c>
      <c r="B4" s="44" t="s">
        <v>152</v>
      </c>
      <c r="C4" t="s">
        <v>159</v>
      </c>
      <c r="D4" t="s">
        <v>160</v>
      </c>
    </row>
    <row r="5" ht="22" customHeight="1" spans="1:4" x14ac:dyDescent="0.25">
      <c r="A5" t="s">
        <v>161</v>
      </c>
      <c r="B5" s="45" t="s">
        <v>152</v>
      </c>
      <c r="C5" t="s">
        <v>162</v>
      </c>
      <c r="D5" t="s">
        <v>163</v>
      </c>
    </row>
    <row r="6" ht="22" customHeight="1" spans="1:4" x14ac:dyDescent="0.25">
      <c r="A6" t="s">
        <v>164</v>
      </c>
      <c r="B6" s="46" t="s">
        <v>152</v>
      </c>
      <c r="C6" t="s">
        <v>165</v>
      </c>
      <c r="D6" t="s">
        <v>166</v>
      </c>
    </row>
    <row r="7" ht="22" customHeight="1" spans="1:4" x14ac:dyDescent="0.25">
      <c r="A7" t="s">
        <v>167</v>
      </c>
      <c r="B7" s="47" t="s">
        <v>152</v>
      </c>
      <c r="C7" t="s">
        <v>168</v>
      </c>
      <c r="D7" t="s">
        <v>169</v>
      </c>
    </row>
    <row r="8" ht="22" customHeight="1" spans="1:4" x14ac:dyDescent="0.25">
      <c r="A8" t="s">
        <v>170</v>
      </c>
      <c r="B8" s="48" t="s">
        <v>152</v>
      </c>
      <c r="C8" t="s">
        <v>171</v>
      </c>
      <c r="D8" t="s">
        <v>172</v>
      </c>
    </row>
    <row r="9" ht="22" customHeight="1" spans="1:4" x14ac:dyDescent="0.25">
      <c r="A9" t="s">
        <v>173</v>
      </c>
      <c r="B9" s="49" t="s">
        <v>152</v>
      </c>
      <c r="C9" t="s">
        <v>174</v>
      </c>
      <c r="D9" t="s">
        <v>175</v>
      </c>
    </row>
    <row r="10" ht="22" customHeight="1" spans="1:4" x14ac:dyDescent="0.25">
      <c r="A10" t="s">
        <v>176</v>
      </c>
      <c r="B10" s="48" t="s">
        <v>152</v>
      </c>
      <c r="C10" t="s">
        <v>177</v>
      </c>
      <c r="D10" t="s">
        <v>178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Capstone Gantt Chart</vt:lpstr>
      <vt:lpstr>Legend &amp; Milestone Guide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Libralink Capstone Team</dc:creator>
  <dc:title/>
  <dc:subject/>
  <dc:description/>
  <cp:keywords/>
  <cp:category/>
  <cp:lastModifiedBy>Libralink Project Team</cp:lastModifiedBy>
  <dcterms:created xsi:type="dcterms:W3CDTF">2026-09-25T14:01:30Z</dcterms:created>
  <dcterms:modified xsi:type="dcterms:W3CDTF">2026-09-25T14:01:30Z</dcterms:modified>
</cp:coreProperties>
</file>